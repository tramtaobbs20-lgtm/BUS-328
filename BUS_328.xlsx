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 activeTab="3"/>
  </bookViews>
  <sheets>
    <sheet name="Sheet2" sheetId="2" r:id="rId1"/>
    <sheet name="VNM" sheetId="3" r:id="rId2"/>
    <sheet name="VHM" sheetId="4" r:id="rId3"/>
    <sheet name="WEIGHT PORFOLIO" sheetId="5" r:id="rId4"/>
    <sheet name="Sheet6" sheetId="6" r:id="rId5"/>
  </sheets>
  <definedNames>
    <definedName name="VHM">'WEIGHT PORFOLIO'!$A$2:$A$752</definedName>
    <definedName name="VNM">'WEIGHT PORFOLIO'!$B$2:$B$752</definedName>
    <definedName name="HPG">'WEIGHT PORFOLIO'!$A$2:$A$788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<sst xmlns="http://schemas.openxmlformats.org/spreadsheetml/2006/main" count="994" uniqueCount="498">
  <si>
    <t>CAPM</t>
  </si>
  <si>
    <t>Stock</t>
  </si>
  <si>
    <t>rf</t>
  </si>
  <si>
    <t>Beta</t>
  </si>
  <si>
    <t>Risk premium</t>
  </si>
  <si>
    <t>Expected return</t>
  </si>
  <si>
    <t>VHM</t>
  </si>
  <si>
    <t>https://ng.investing.com/pro/HOSE:VNM/explorer/beta</t>
  </si>
  <si>
    <t>VNM</t>
  </si>
  <si>
    <t>https://ng.investing.com/pro/HOSE:VHM/explorer/beta</t>
  </si>
  <si>
    <t>https://pages.stern.nyu.edu/~adamodar/New_Home_Page/datafile/ctryprem.html</t>
  </si>
  <si>
    <t>date</t>
  </si>
  <si>
    <t>HPR</t>
  </si>
  <si>
    <t>ln®(HDB)</t>
  </si>
  <si>
    <t>daily rf</t>
  </si>
  <si>
    <t>excess return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</si>
  <si>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</si>
  <si>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</si>
  <si>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</si>
  <si>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</si>
  <si>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</si>
  <si>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</si>
  <si>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</si>
  <si>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</si>
  <si>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</si>
  <si>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</si>
  <si>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</si>
  <si>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</si>
  <si>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</si>
  <si>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</si>
  <si>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</si>
  <si>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</si>
  <si>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</si>
  <si>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</si>
  <si>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</si>
  <si>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</si>
  <si>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</si>
  <si>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</si>
  <si>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</si>
  <si>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</si>
  <si>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</si>
  <si>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</si>
  <si>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</si>
  <si>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</si>
  <si>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</si>
  <si>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</si>
  <si>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</si>
  <si>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</si>
  <si>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</si>
  <si>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</si>
  <si>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</si>
  <si>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</si>
  <si>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</si>
  <si>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</si>
  <si>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</si>
  <si>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</si>
  <si>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</si>
  <si>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</si>
  <si>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</si>
  <si>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</si>
  <si>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</si>
  <si>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</si>
  <si>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</si>
  <si>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</si>
  <si>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</si>
  <si>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</si>
  <si>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</si>
  <si>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</si>
  <si>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</si>
  <si>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</si>
  <si>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</si>
  <si>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</si>
  <si>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</si>
  <si>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</si>
  <si>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</si>
  <si>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</si>
  <si>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</si>
  <si>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</si>
  <si>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</si>
  <si>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</si>
  <si>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</si>
  <si>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</si>
  <si>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</si>
  <si>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</si>
  <si>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</si>
  <si>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</si>
  <si>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</si>
  <si>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</si>
  <si>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</si>
  <si>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</si>
  <si>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</si>
  <si>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</si>
  <si>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</si>
  <si>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</si>
  <si>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</si>
  <si>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</si>
  <si>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</si>
  <si>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</si>
  <si>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</si>
  <si>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</si>
  <si>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</si>
  <si>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</si>
  <si>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</si>
  <si>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</si>
  <si>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</si>
  <si>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</si>
  <si>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</si>
  <si>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</si>
  <si>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</si>
  <si>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</si>
  <si>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</si>
  <si>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</si>
  <si>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</si>
  <si>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</si>
  <si>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</si>
  <si>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</si>
  <si>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</si>
  <si>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</si>
  <si>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</si>
  <si>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</si>
  <si>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</si>
  <si>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</si>
  <si>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</si>
  <si>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</si>
  <si>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</si>
  <si>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</si>
  <si>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</si>
  <si>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</si>
  <si>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</si>
  <si>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</si>
  <si>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</si>
  <si>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</si>
  <si>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</si>
  <si>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</si>
  <si>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</si>
  <si>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</si>
  <si>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</si>
  <si>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</si>
  <si>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</si>
  <si>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</si>
  <si>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</si>
  <si>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</si>
  <si>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</si>
  <si>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</si>
  <si>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</si>
  <si>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</si>
  <si>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</si>
  <si>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</si>
  <si>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</si>
  <si>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</si>
  <si>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</si>
  <si>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</si>
  <si>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</si>
  <si>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</si>
  <si>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</si>
  <si>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</si>
  <si>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</si>
  <si>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</si>
  <si>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</si>
  <si>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</si>
  <si>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</si>
  <si>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</si>
  <si>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</si>
  <si>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</si>
  <si>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</si>
  <si>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</si>
  <si>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</si>
  <si>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</si>
  <si>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</si>
  <si>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</si>
  <si>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</si>
  <si>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</si>
  <si>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</si>
  <si>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</si>
  <si>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</si>
  <si>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</si>
  <si>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</si>
  <si>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</si>
  <si>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</si>
  <si>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</si>
  <si>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</si>
  <si>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</si>
  <si>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</si>
  <si>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</si>
  <si>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</si>
  <si>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</si>
  <si>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</si>
  <si>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</si>
  <si>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</si>
  <si>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</si>
  <si>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</si>
  <si>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</si>
  <si>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</si>
  <si>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</si>
  <si>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</si>
  <si>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</si>
  <si>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</si>
  <si>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</si>
  <si>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</si>
  <si>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</si>
  <si>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</si>
  <si>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</si>
  <si>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</si>
  <si>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</si>
  <si>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</si>
  <si>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</si>
  <si>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</si>
  <si>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</si>
  <si>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</si>
  <si>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</si>
  <si>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</si>
  <si>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</si>
  <si>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</si>
  <si>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</si>
  <si>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</si>
  <si>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</si>
  <si>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</si>
  <si>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</si>
  <si>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</si>
  <si>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</si>
  <si>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</si>
  <si>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</si>
  <si>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</si>
  <si>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</si>
  <si>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</si>
  <si>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</si>
  <si>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</si>
  <si>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</si>
  <si>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</si>
  <si>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</si>
  <si>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</si>
  <si>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</si>
  <si>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</si>
  <si>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</si>
  <si>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</si>
  <si>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</si>
  <si>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</si>
  <si>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</si>
  <si>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</si>
  <si>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</si>
  <si>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</si>
  <si>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</si>
  <si>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</si>
  <si>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</si>
  <si>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</si>
  <si>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</si>
  <si>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</si>
  <si>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</si>
  <si>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</si>
  <si>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</si>
  <si>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</si>
  <si>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</si>
  <si>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</si>
  <si>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</si>
  <si>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</si>
  <si>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</si>
  <si>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</si>
  <si>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</si>
  <si>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</si>
  <si>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</si>
  <si>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</si>
  <si>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</si>
  <si>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</si>
  <si>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</si>
  <si>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</si>
  <si>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</si>
  <si>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</si>
  <si>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</si>
  <si>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</si>
  <si>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</si>
  <si>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</si>
  <si>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</si>
  <si>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</si>
  <si>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</si>
  <si>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</si>
  <si>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</si>
  <si>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</si>
  <si>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</si>
  <si>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</si>
  <si>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</si>
  <si>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</si>
  <si>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</si>
  <si>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</si>
  <si>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</si>
  <si>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</si>
  <si>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</si>
  <si>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</si>
  <si>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</si>
  <si>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</si>
  <si>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</si>
  <si>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</si>
  <si>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</si>
  <si>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</si>
  <si>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</si>
  <si>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</si>
  <si>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</si>
  <si>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</si>
  <si>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</si>
  <si>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</si>
  <si>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</si>
  <si>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</si>
  <si>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</si>
  <si>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</si>
  <si>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</si>
  <si>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</si>
  <si>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</si>
  <si>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</si>
  <si>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</si>
  <si>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</si>
  <si>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</si>
  <si>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</si>
  <si>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</si>
  <si>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</si>
  <si>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</si>
  <si>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</si>
  <si>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</si>
  <si>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</si>
  <si>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</si>
  <si>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</si>
  <si>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</si>
  <si>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</si>
  <si>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</si>
  <si>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</si>
  <si>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</si>
  <si>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</si>
  <si>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</si>
  <si>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</si>
  <si>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</si>
  <si>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</si>
  <si>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</si>
  <si>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</si>
  <si>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</si>
  <si>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</si>
  <si>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</si>
  <si>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</si>
  <si>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</si>
  <si>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</si>
  <si>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</si>
  <si>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</si>
  <si>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</si>
  <si>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</si>
  <si>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</si>
  <si>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</si>
  <si>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</si>
  <si>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</si>
  <si>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</si>
  <si>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</si>
  <si>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</si>
  <si>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</si>
  <si>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</si>
  <si>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</si>
  <si>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</si>
  <si>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</si>
  <si>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</si>
  <si>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</si>
  <si>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</si>
  <si>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</si>
  <si>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</si>
  <si>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</si>
  <si>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</si>
  <si>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</si>
  <si>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</si>
  <si>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</si>
  <si>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</si>
  <si>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</si>
  <si>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</si>
  <si>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</si>
  <si>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</si>
  <si>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</si>
  <si>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</si>
  <si>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</si>
  <si>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</si>
  <si>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</si>
  <si>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</si>
  <si>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</si>
  <si>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</si>
  <si>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</si>
  <si>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</si>
  <si>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</si>
  <si>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</si>
  <si>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</si>
  <si>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</si>
  <si>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</si>
  <si>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</si>
  <si>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</si>
  <si>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</si>
  <si>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</si>
  <si>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</si>
  <si>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</si>
  <si>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</si>
  <si>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</si>
  <si>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</si>
  <si>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</si>
  <si>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</si>
  <si>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</si>
  <si>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</si>
  <si>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</si>
  <si>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</si>
  <si>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</si>
  <si>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</si>
  <si>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</si>
  <si>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</si>
  <si>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</si>
  <si>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</si>
  <si>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</si>
  <si>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</si>
  <si>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</si>
  <si>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</si>
  <si>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</si>
  <si>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</si>
  <si>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</si>
  <si>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</si>
  <si>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</si>
  <si>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</si>
  <si>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</si>
  <si>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</si>
  <si>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</si>
  <si>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</si>
  <si>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</si>
  <si>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</si>
  <si>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</si>
  <si>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</si>
  <si>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</si>
  <si>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</si>
  <si>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</si>
  <si>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</si>
  <si>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</si>
  <si>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</si>
  <si>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</si>
  <si>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</si>
  <si>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</si>
  <si>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</si>
  <si>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</si>
  <si>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</si>
  <si>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</si>
  <si>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</si>
  <si>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</si>
  <si>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</si>
  <si>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</si>
  <si>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</si>
  <si>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</si>
  <si>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</si>
  <si>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</si>
  <si>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</si>
  <si>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</si>
  <si>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</si>
  <si>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</si>
  <si>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</si>
  <si>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</si>
  <si>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</si>
  <si>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</si>
  <si>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</si>
  <si>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</si>
  <si>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</si>
  <si>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</si>
  <si>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</si>
  <si>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</si>
  <si>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</si>
  <si>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</si>
  <si>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</si>
  <si>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</si>
  <si>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</si>
  <si>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</si>
  <si>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</si>
  <si>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</si>
  <si>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</si>
  <si>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</si>
  <si>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</si>
  <si>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</si>
  <si>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</si>
  <si>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</si>
  <si>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</si>
  <si>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</si>
  <si>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</si>
  <si>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</si>
  <si>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</si>
  <si>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</si>
  <si>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</si>
  <si>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</si>
  <si>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</si>
  <si>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AVERAGE</t>
  </si>
  <si>
    <t>Standard deviation</t>
  </si>
  <si>
    <t>Sharpe ratio</t>
  </si>
  <si>
    <t>Sharp ratio(annualy)</t>
  </si>
  <si>
    <t>vhm</t>
  </si>
  <si>
    <t>COVARIANCE</t>
  </si>
  <si>
    <t>DAILY RETURN</t>
  </si>
  <si>
    <t>ANNUAL RETURN</t>
  </si>
  <si>
    <t>Portfolio weight</t>
  </si>
  <si>
    <t>Daily</t>
  </si>
  <si>
    <t>Annual</t>
  </si>
  <si>
    <t>Return</t>
  </si>
  <si>
    <t>Variance</t>
  </si>
  <si>
    <t>total</t>
  </si>
  <si>
    <t>SD</t>
  </si>
  <si>
    <t>Risk Free</t>
  </si>
  <si>
    <t>Objective</t>
  </si>
  <si>
    <t>Maximize Sharpe 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</si>
</sst>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0000000_ ;_ * \-#,##0.00000000_ ;_ * &quot;-&quot;??.000000_ ;_ @_ "/>
    <numFmt numFmtId="179" formatCode="0.00000%"/>
    <numFmt numFmtId="180" formatCode="0.000%"/>
    <numFmt numFmtId="181" formatCode="0.000"/>
    <numFmt numFmtId="182" formatCode="0.00000"/>
    <numFmt numFmtId="183" formatCode="0.0000%"/>
    <numFmt numFmtId="184" formatCode="0.0000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63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63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3" applyNumberFormat="1" applyFont="1">
      <alignment vertical="center"/>
    </xf>
    <xf numFmtId="10" fontId="0" fillId="0" borderId="0" xfId="3" applyNumberFormat="1" applyFont="1">
      <alignment vertical="center"/>
    </xf>
    <xf numFmtId="178" fontId="0" fillId="0" borderId="0" xfId="1" applyNumberFormat="1">
      <alignment vertical="center"/>
    </xf>
    <xf numFmtId="179" fontId="0" fillId="0" borderId="0" xfId="3" applyNumberFormat="1">
      <alignment vertical="center"/>
    </xf>
    <xf numFmtId="9" fontId="0" fillId="0" borderId="0" xfId="3">
      <alignment vertical="center"/>
    </xf>
    <xf numFmtId="180" fontId="0" fillId="0" borderId="0" xfId="3" applyNumberFormat="1">
      <alignment vertical="center"/>
    </xf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0" fontId="2" fillId="0" borderId="0" xfId="0" applyFont="1" applyFill="1" applyAlignment="1"/>
    <xf numFmtId="0" fontId="3" fillId="3" borderId="1" xfId="0" applyFont="1" applyFill="1" applyBorder="1" applyAlignment="1"/>
    <xf numFmtId="0" fontId="0" fillId="4" borderId="1" xfId="0" applyFont="1" applyFill="1" applyBorder="1" applyAlignment="1"/>
    <xf numFmtId="9" fontId="0" fillId="0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182" fontId="2" fillId="0" borderId="1" xfId="0" applyNumberFormat="1" applyFont="1" applyFill="1" applyBorder="1" applyAlignment="1"/>
    <xf numFmtId="9" fontId="2" fillId="0" borderId="1" xfId="0" applyNumberFormat="1" applyFont="1" applyFill="1" applyBorder="1" applyAlignment="1"/>
    <xf numFmtId="10" fontId="2" fillId="0" borderId="1" xfId="0" applyNumberFormat="1" applyFont="1" applyFill="1" applyBorder="1" applyAlignment="1"/>
    <xf numFmtId="0" fontId="2" fillId="5" borderId="1" xfId="0" applyFont="1" applyFill="1" applyBorder="1" applyAlignment="1"/>
    <xf numFmtId="181" fontId="4" fillId="6" borderId="1" xfId="0" applyNumberFormat="1" applyFont="1" applyFill="1" applyBorder="1" applyAlignment="1"/>
    <xf numFmtId="9" fontId="0" fillId="0" borderId="0" xfId="3" applyFont="1" applyFill="1" applyAlignment="1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  <xf numFmtId="10" fontId="0" fillId="0" borderId="0" xfId="3" applyNumberFormat="1" applyFont="1" applyFill="1" applyAlignment="1">
      <alignment vertical="center"/>
    </xf>
    <xf numFmtId="180" fontId="0" fillId="0" borderId="0" xfId="3" applyNumberFormat="1" applyFont="1">
      <alignment vertical="center"/>
    </xf>
    <xf numFmtId="0" fontId="1" fillId="0" borderId="0" xfId="0" applyFont="1" applyAlignment="1"/>
    <xf numFmtId="58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3" fontId="0" fillId="0" borderId="0" xfId="3" applyNumberFormat="1" applyFont="1">
      <alignment vertical="center"/>
    </xf>
    <xf numFmtId="180" fontId="0" fillId="0" borderId="0" xfId="3" applyNumberFormat="1" applyFont="1" applyFill="1" applyAlignment="1">
      <alignment vertical="center"/>
    </xf>
    <xf numFmtId="184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3" applyNumberFormat="1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9" sqref="E9"/>
    </sheetView>
  </sheetViews>
  <sheetFormatPr defaultColWidth="8.72727272727273" defaultRowHeight="14.5" outlineLevelRow="7" outlineLevelCol="7"/>
  <cols>
    <col min="4" max="4" width="21.9090909090909" customWidth="1"/>
    <col min="5" max="5" width="21.6363636363636" customWidth="1"/>
  </cols>
  <sheetData>
    <row r="1" spans="1:8">
      <c r="A1" s="32" t="s">
        <v>0</v>
      </c>
      <c r="B1" s="32"/>
      <c r="C1" s="32"/>
      <c r="D1" s="32"/>
      <c r="E1" s="32"/>
    </row>
    <row r="2" spans="1:8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</row>
    <row r="3" spans="1:8">
      <c r="A3" s="34" t="s">
        <v>6</v>
      </c>
      <c r="B3" s="35">
        <v>0.0425</v>
      </c>
      <c r="C3" s="36">
        <v>1.25</v>
      </c>
      <c r="D3" s="35">
        <v>0.0813</v>
      </c>
      <c r="E3" s="37">
        <f>B3+C3*D3</f>
        <v>0.144125</v>
      </c>
      <c r="H3" t="s">
        <v>7</v>
      </c>
    </row>
    <row r="4" spans="1:8">
      <c r="A4" s="34" t="s">
        <v>8</v>
      </c>
      <c r="B4" s="38"/>
      <c r="C4" s="36">
        <v>0.38</v>
      </c>
      <c r="D4" s="38"/>
      <c r="E4" s="37">
        <f>B3+C4*D3</f>
        <v>0.073394</v>
      </c>
      <c r="H4" t="s">
        <v>9</v>
      </c>
    </row>
    <row r="8" spans="1:8">
      <c r="E8" t="s">
        <v>10</v>
      </c>
    </row>
  </sheetData>
  <mergeCells count="3">
    <mergeCell ref="A1:E1"/>
    <mergeCell ref="B3:B4"/>
    <mergeCell ref="D3:D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8"/>
  <sheetViews>
    <sheetView topLeftCell="A734" workbookViewId="0">
      <selection activeCell="D3" sqref="D3:D758"/>
    </sheetView>
  </sheetViews>
  <sheetFormatPr defaultColWidth="8.72727272727273" defaultRowHeight="14.5"/>
  <cols>
    <col min="1" max="1" width="23.6363636363636" customWidth="1"/>
    <col min="3" max="3" width="12.8181818181818"/>
    <col min="4" max="4" width="18.4545454545455" customWidth="1"/>
    <col min="5" max="6" width="12.8181818181818"/>
    <col min="7" max="7" width="12" customWidth="1"/>
    <col min="10" max="10" width="18.3636363636364" customWidth="1"/>
  </cols>
  <sheetData>
    <row r="1" spans="1:10">
      <c r="A1" t="s">
        <v>11</v>
      </c>
      <c r="B1" t="s">
        <v>8</v>
      </c>
      <c r="C1" t="s">
        <v>12</v>
      </c>
      <c r="D1" t="s">
        <v>13</v>
      </c>
      <c r="E1" t="s">
        <v>2</v>
      </c>
      <c r="F1" t="s">
        <v>14</v>
      </c>
      <c r="G1" t="s">
        <v>15</v>
      </c>
    </row>
    <row r="2" spans="1:10">
      <c r="A2" s="26">
        <v>46297</v>
      </c>
      <c r="B2" s="27">
        <v>68400</v>
      </c>
      <c r="E2" s="23">
        <v>0.04246</v>
      </c>
      <c r="F2" s="2">
        <f>E2/260</f>
        <v>0.000163307692307692</v>
      </c>
    </row>
    <row r="3" spans="1:10">
      <c r="A3" s="26">
        <v>46267</v>
      </c>
      <c r="B3" s="27">
        <v>69600</v>
      </c>
      <c r="C3" s="2">
        <f>(B3-B2)/B2</f>
        <v>0.0175438596491228</v>
      </c>
      <c r="D3" s="2">
        <f>LN(B3/B2)</f>
        <v>0.0173917427118692</v>
      </c>
      <c r="E3" s="23">
        <v>0.04243</v>
      </c>
      <c r="F3" s="2">
        <f t="shared" ref="F3:F66" si="0">E3/260</f>
        <v>0.000163192307692308</v>
      </c>
      <c r="G3" s="23">
        <f>D3-F3</f>
        <v>0.0172285504041769</v>
      </c>
      <c r="J3" s="21"/>
    </row>
    <row r="4" spans="1:10">
      <c r="A4" s="26">
        <v>46175</v>
      </c>
      <c r="B4" s="27">
        <v>69100</v>
      </c>
      <c r="C4" s="2">
        <f t="shared" ref="C4:C67" si="1">(B4-B3)/B3</f>
        <v>-0.00718390804597701</v>
      </c>
      <c r="D4" s="2">
        <f t="shared" ref="D4:D32" si="2">LN(B4/B3)</f>
        <v>-0.00720983656674976</v>
      </c>
      <c r="E4" s="23">
        <v>0.04222</v>
      </c>
      <c r="F4" s="2">
        <f t="shared" si="0"/>
        <v>0.000162384615384615</v>
      </c>
      <c r="G4" s="23">
        <f t="shared" ref="G4:G67" si="3">D4-F4</f>
        <v>-0.00737222118213437</v>
      </c>
      <c r="J4" s="21"/>
    </row>
    <row r="5" spans="1:10">
      <c r="A5" s="26">
        <v>46144</v>
      </c>
      <c r="B5" s="27">
        <v>69100</v>
      </c>
      <c r="C5" s="2">
        <f t="shared" si="1"/>
        <v>0</v>
      </c>
      <c r="D5" s="2">
        <f t="shared" si="2"/>
        <v>0</v>
      </c>
      <c r="E5" s="23">
        <v>0.04219</v>
      </c>
      <c r="F5" s="2">
        <f t="shared" si="0"/>
        <v>0.000162269230769231</v>
      </c>
      <c r="G5" s="23">
        <f t="shared" si="3"/>
        <v>-0.000162269230769231</v>
      </c>
      <c r="J5" s="21"/>
    </row>
    <row r="6" spans="1:10">
      <c r="A6" s="26">
        <v>46114</v>
      </c>
      <c r="B6" s="27">
        <v>72000</v>
      </c>
      <c r="C6" s="2">
        <f t="shared" si="1"/>
        <v>0.0419681620839363</v>
      </c>
      <c r="D6" s="2">
        <f t="shared" si="2"/>
        <v>0.0411113882424311</v>
      </c>
      <c r="E6" s="23">
        <v>0.04223</v>
      </c>
      <c r="F6" s="2">
        <f t="shared" si="0"/>
        <v>0.000162423076923077</v>
      </c>
      <c r="G6" s="23">
        <f t="shared" si="3"/>
        <v>0.040948965165508</v>
      </c>
      <c r="J6" s="21"/>
    </row>
    <row r="7" spans="1:10">
      <c r="A7" s="26">
        <v>46083</v>
      </c>
      <c r="B7" s="27">
        <v>71600</v>
      </c>
      <c r="C7" s="2">
        <f t="shared" si="1"/>
        <v>-0.00555555555555556</v>
      </c>
      <c r="D7" s="2">
        <f t="shared" si="2"/>
        <v>-0.00557104504945536</v>
      </c>
      <c r="E7" s="23">
        <v>0.04203</v>
      </c>
      <c r="F7" s="2">
        <f t="shared" si="0"/>
        <v>0.000161653846153846</v>
      </c>
      <c r="G7" s="23">
        <f t="shared" si="3"/>
        <v>-0.00573269889560921</v>
      </c>
      <c r="J7" s="21"/>
    </row>
    <row r="8" spans="1:10">
      <c r="A8" s="26">
        <v>46055</v>
      </c>
      <c r="B8" s="27">
        <v>72600</v>
      </c>
      <c r="C8" s="2">
        <f t="shared" si="1"/>
        <v>0.0139664804469274</v>
      </c>
      <c r="D8" s="2">
        <f t="shared" si="2"/>
        <v>0.0138698478641504</v>
      </c>
      <c r="E8" s="23">
        <v>0.04203</v>
      </c>
      <c r="F8" s="2">
        <f t="shared" si="0"/>
        <v>0.000161653846153846</v>
      </c>
      <c r="G8" s="23">
        <f t="shared" si="3"/>
        <v>0.0137081940179965</v>
      </c>
      <c r="J8" s="21"/>
    </row>
    <row r="9" spans="1:10">
      <c r="A9" s="28" t="s">
        <v>16</v>
      </c>
      <c r="B9" s="27">
        <v>70600</v>
      </c>
      <c r="C9" s="2">
        <f t="shared" si="1"/>
        <v>-0.0275482093663912</v>
      </c>
      <c r="D9" s="2">
        <f t="shared" si="2"/>
        <v>-0.027934777331554</v>
      </c>
      <c r="E9" s="23">
        <v>0.04178</v>
      </c>
      <c r="F9" s="2">
        <f t="shared" si="0"/>
        <v>0.000160692307692308</v>
      </c>
      <c r="G9" s="23">
        <f t="shared" si="3"/>
        <v>-0.0280954696392463</v>
      </c>
      <c r="J9" s="21"/>
    </row>
    <row r="10" spans="1:10">
      <c r="A10" s="28" t="s">
        <v>17</v>
      </c>
      <c r="B10" s="27">
        <v>71100</v>
      </c>
      <c r="C10" s="2">
        <f t="shared" si="1"/>
        <v>0.00708215297450425</v>
      </c>
      <c r="D10" s="2">
        <f t="shared" si="2"/>
        <v>0.00705719230999876</v>
      </c>
      <c r="E10" s="23">
        <v>0.04188</v>
      </c>
      <c r="F10" s="2">
        <f t="shared" si="0"/>
        <v>0.000161076923076923</v>
      </c>
      <c r="G10" s="23">
        <f t="shared" si="3"/>
        <v>0.00689611538692184</v>
      </c>
    </row>
    <row r="11" spans="1:10">
      <c r="A11" s="28" t="s">
        <v>18</v>
      </c>
      <c r="B11" s="27">
        <v>67700</v>
      </c>
      <c r="C11" s="2">
        <f t="shared" si="1"/>
        <v>-0.0478199718706048</v>
      </c>
      <c r="D11" s="2">
        <f t="shared" si="2"/>
        <v>-0.0490011568909659</v>
      </c>
      <c r="E11" s="23">
        <v>0.04176</v>
      </c>
      <c r="F11" s="2">
        <f t="shared" si="0"/>
        <v>0.000160615384615385</v>
      </c>
      <c r="G11" s="23">
        <f t="shared" si="3"/>
        <v>-0.0491617722755813</v>
      </c>
    </row>
    <row r="12" spans="1:10">
      <c r="A12" s="28" t="s">
        <v>19</v>
      </c>
      <c r="B12" s="27">
        <v>67700</v>
      </c>
      <c r="C12" s="2">
        <f t="shared" si="1"/>
        <v>0</v>
      </c>
      <c r="D12" s="2">
        <f t="shared" si="2"/>
        <v>0</v>
      </c>
      <c r="E12" s="23">
        <v>0.04184</v>
      </c>
      <c r="F12" s="2">
        <f t="shared" si="0"/>
        <v>0.000160923076923077</v>
      </c>
      <c r="G12" s="23">
        <f t="shared" si="3"/>
        <v>-0.000160923076923077</v>
      </c>
    </row>
    <row r="13" spans="1:10">
      <c r="A13" s="28" t="s">
        <v>20</v>
      </c>
      <c r="B13" s="27">
        <v>68900</v>
      </c>
      <c r="C13" s="2">
        <f t="shared" si="1"/>
        <v>0.017725258493353</v>
      </c>
      <c r="D13" s="2">
        <f t="shared" si="2"/>
        <v>0.0175699981013835</v>
      </c>
      <c r="E13" s="23">
        <v>0.04181</v>
      </c>
      <c r="F13" s="2">
        <f t="shared" si="0"/>
        <v>0.000160807692307692</v>
      </c>
      <c r="G13" s="23">
        <f t="shared" si="3"/>
        <v>0.0174091904090758</v>
      </c>
    </row>
    <row r="14" spans="1:10">
      <c r="A14" s="28" t="s">
        <v>21</v>
      </c>
      <c r="B14" s="27">
        <v>67200</v>
      </c>
      <c r="C14" s="2">
        <f t="shared" si="1"/>
        <v>-0.0246734397677794</v>
      </c>
      <c r="D14" s="2">
        <f t="shared" si="2"/>
        <v>-0.024982930490509</v>
      </c>
      <c r="E14" s="23">
        <v>0.04177</v>
      </c>
      <c r="F14" s="2">
        <f t="shared" si="0"/>
        <v>0.000160653846153846</v>
      </c>
      <c r="G14" s="23">
        <f t="shared" si="3"/>
        <v>-0.0251435843366628</v>
      </c>
    </row>
    <row r="15" spans="1:10">
      <c r="A15" s="28" t="s">
        <v>22</v>
      </c>
      <c r="B15" s="27">
        <v>70900</v>
      </c>
      <c r="C15" s="2">
        <f t="shared" si="1"/>
        <v>0.0550595238095238</v>
      </c>
      <c r="D15" s="2">
        <f t="shared" si="2"/>
        <v>0.0535971860089779</v>
      </c>
      <c r="E15" s="23">
        <v>0.04185</v>
      </c>
      <c r="F15" s="2">
        <f t="shared" si="0"/>
        <v>0.000160961538461538</v>
      </c>
      <c r="G15" s="23">
        <f t="shared" si="3"/>
        <v>0.0534362244705163</v>
      </c>
    </row>
    <row r="16" spans="1:10">
      <c r="A16" s="28" t="s">
        <v>23</v>
      </c>
      <c r="B16" s="27">
        <v>70300</v>
      </c>
      <c r="C16" s="2">
        <f t="shared" si="1"/>
        <v>-0.00846262341325811</v>
      </c>
      <c r="D16" s="2">
        <f t="shared" si="2"/>
        <v>-0.00849863472146258</v>
      </c>
      <c r="E16" s="23">
        <v>0.04161</v>
      </c>
      <c r="F16" s="2">
        <f t="shared" si="0"/>
        <v>0.000160038461538462</v>
      </c>
      <c r="G16" s="23">
        <f t="shared" si="3"/>
        <v>-0.00865867318300104</v>
      </c>
    </row>
    <row r="17" spans="1:10">
      <c r="A17" s="28" t="s">
        <v>24</v>
      </c>
      <c r="B17" s="27">
        <v>73400</v>
      </c>
      <c r="C17" s="2">
        <f t="shared" si="1"/>
        <v>0.0440967283072546</v>
      </c>
      <c r="D17" s="2">
        <f t="shared" si="2"/>
        <v>0.0431521368038507</v>
      </c>
      <c r="E17" s="23">
        <v>0.04175</v>
      </c>
      <c r="F17" s="2">
        <f t="shared" si="0"/>
        <v>0.000160576923076923</v>
      </c>
      <c r="G17" s="23">
        <f t="shared" si="3"/>
        <v>0.0429915598807738</v>
      </c>
    </row>
    <row r="18" spans="1:10">
      <c r="A18" s="28" t="s">
        <v>25</v>
      </c>
      <c r="B18" s="27">
        <v>70600</v>
      </c>
      <c r="C18" s="2">
        <f t="shared" si="1"/>
        <v>-0.0381471389645777</v>
      </c>
      <c r="D18" s="2">
        <f t="shared" si="2"/>
        <v>-0.0388937911212735</v>
      </c>
      <c r="E18" s="23">
        <v>0.04261</v>
      </c>
      <c r="F18" s="2">
        <f t="shared" si="0"/>
        <v>0.000163884615384615</v>
      </c>
      <c r="G18" s="23">
        <f t="shared" si="3"/>
        <v>-0.0390576757366581</v>
      </c>
    </row>
    <row r="19" spans="1:10">
      <c r="A19" s="28" t="s">
        <v>26</v>
      </c>
      <c r="B19" s="27">
        <v>69600</v>
      </c>
      <c r="C19" s="2">
        <f t="shared" si="1"/>
        <v>-0.0141643059490085</v>
      </c>
      <c r="D19" s="2">
        <f t="shared" si="2"/>
        <v>-0.0142655771588225</v>
      </c>
      <c r="E19" s="23">
        <v>0.04266</v>
      </c>
      <c r="F19" s="2">
        <f t="shared" si="0"/>
        <v>0.000164076923076923</v>
      </c>
      <c r="G19" s="23">
        <f t="shared" si="3"/>
        <v>-0.0144296540818994</v>
      </c>
    </row>
    <row r="20" spans="1:10">
      <c r="A20" s="28" t="s">
        <v>27</v>
      </c>
      <c r="B20" s="27">
        <v>71000</v>
      </c>
      <c r="C20" s="2">
        <f t="shared" si="1"/>
        <v>0.0201149425287356</v>
      </c>
      <c r="D20" s="2">
        <f t="shared" si="2"/>
        <v>0.0199153097009415</v>
      </c>
      <c r="E20" s="23">
        <v>0.04257</v>
      </c>
      <c r="F20" s="2">
        <f t="shared" si="0"/>
        <v>0.000163730769230769</v>
      </c>
      <c r="G20" s="23">
        <f t="shared" si="3"/>
        <v>0.0197515789317107</v>
      </c>
    </row>
    <row r="21" spans="1:10">
      <c r="A21" s="28" t="s">
        <v>28</v>
      </c>
      <c r="B21" s="27">
        <v>67700</v>
      </c>
      <c r="C21" s="2">
        <f t="shared" si="1"/>
        <v>-0.0464788732394366</v>
      </c>
      <c r="D21" s="2">
        <f t="shared" si="2"/>
        <v>-0.0475936971230862</v>
      </c>
      <c r="E21" s="23">
        <v>0.0426</v>
      </c>
      <c r="F21" s="2">
        <f t="shared" si="0"/>
        <v>0.000163846153846154</v>
      </c>
      <c r="G21" s="23">
        <f t="shared" si="3"/>
        <v>-0.0477575432769323</v>
      </c>
    </row>
    <row r="22" spans="1:10">
      <c r="A22" s="28" t="s">
        <v>29</v>
      </c>
      <c r="B22" s="27">
        <v>63300</v>
      </c>
      <c r="C22" s="2">
        <f t="shared" si="1"/>
        <v>-0.0649926144756278</v>
      </c>
      <c r="D22" s="2">
        <f t="shared" si="2"/>
        <v>-0.0672008507680988</v>
      </c>
      <c r="E22" s="23">
        <v>0.04258</v>
      </c>
      <c r="F22" s="2">
        <f t="shared" si="0"/>
        <v>0.000163769230769231</v>
      </c>
      <c r="G22" s="23">
        <f t="shared" si="3"/>
        <v>-0.067364619998868</v>
      </c>
    </row>
    <row r="23" spans="1:10">
      <c r="A23" s="26">
        <v>46357</v>
      </c>
      <c r="B23" s="27">
        <v>62700</v>
      </c>
      <c r="C23" s="2">
        <f t="shared" si="1"/>
        <v>-0.00947867298578199</v>
      </c>
      <c r="D23" s="2">
        <f t="shared" si="2"/>
        <v>-0.00952388151125548</v>
      </c>
      <c r="E23" s="23">
        <v>0.04268</v>
      </c>
      <c r="F23" s="2">
        <f t="shared" si="0"/>
        <v>0.000164153846153846</v>
      </c>
      <c r="G23" s="23">
        <f t="shared" si="3"/>
        <v>-0.00968803535740933</v>
      </c>
    </row>
    <row r="24" spans="1:10">
      <c r="A24" s="26">
        <v>46266</v>
      </c>
      <c r="B24" s="27">
        <v>61000</v>
      </c>
      <c r="C24" s="2">
        <f t="shared" si="1"/>
        <v>-0.0271132376395534</v>
      </c>
      <c r="D24" s="2">
        <f t="shared" si="2"/>
        <v>-0.0274875834655638</v>
      </c>
      <c r="E24" s="23">
        <v>0.04277</v>
      </c>
      <c r="F24" s="2">
        <f t="shared" si="0"/>
        <v>0.0001645</v>
      </c>
      <c r="G24" s="23">
        <f t="shared" si="3"/>
        <v>-0.0276520834655638</v>
      </c>
      <c r="J24" s="21"/>
    </row>
    <row r="25" spans="1:10">
      <c r="A25" s="26">
        <v>46235</v>
      </c>
      <c r="B25" s="27">
        <v>62200</v>
      </c>
      <c r="C25" s="2">
        <f t="shared" si="1"/>
        <v>0.019672131147541</v>
      </c>
      <c r="D25" s="2">
        <f t="shared" si="2"/>
        <v>0.0194811355718225</v>
      </c>
      <c r="E25" s="23">
        <v>0.043</v>
      </c>
      <c r="F25" s="2">
        <f t="shared" si="0"/>
        <v>0.000165384615384615</v>
      </c>
      <c r="G25" s="23">
        <f t="shared" si="3"/>
        <v>0.0193157509564379</v>
      </c>
      <c r="J25" s="21"/>
    </row>
    <row r="26" spans="1:10">
      <c r="A26" s="26">
        <v>46204</v>
      </c>
      <c r="B26" s="27">
        <v>60900</v>
      </c>
      <c r="C26" s="2">
        <f t="shared" si="1"/>
        <v>-0.0209003215434084</v>
      </c>
      <c r="D26" s="2">
        <f t="shared" si="2"/>
        <v>-0.0211218250292824</v>
      </c>
      <c r="E26" s="23">
        <v>0.04223</v>
      </c>
      <c r="F26" s="2">
        <f t="shared" si="0"/>
        <v>0.000162423076923077</v>
      </c>
      <c r="G26" s="23">
        <f t="shared" si="3"/>
        <v>-0.0212842481062055</v>
      </c>
      <c r="J26" s="21"/>
    </row>
    <row r="27" spans="1:10">
      <c r="A27" s="26">
        <v>46174</v>
      </c>
      <c r="B27" s="27">
        <v>60800</v>
      </c>
      <c r="C27" s="2">
        <f t="shared" si="1"/>
        <v>-0.00164203612479475</v>
      </c>
      <c r="D27" s="2">
        <f t="shared" si="2"/>
        <v>-0.00164338574373001</v>
      </c>
      <c r="E27" s="23">
        <v>0.04186</v>
      </c>
      <c r="F27" s="2">
        <f t="shared" si="0"/>
        <v>0.000161</v>
      </c>
      <c r="G27" s="23">
        <f t="shared" si="3"/>
        <v>-0.00180438574373001</v>
      </c>
      <c r="J27" s="21"/>
    </row>
    <row r="28" spans="1:10">
      <c r="A28" s="26">
        <v>46143</v>
      </c>
      <c r="B28" s="27">
        <v>60300</v>
      </c>
      <c r="C28" s="2">
        <f t="shared" si="1"/>
        <v>-0.00822368421052632</v>
      </c>
      <c r="D28" s="2">
        <f t="shared" si="2"/>
        <v>-0.00825768523898158</v>
      </c>
      <c r="E28" s="23">
        <v>0.04182</v>
      </c>
      <c r="F28" s="2">
        <f t="shared" si="0"/>
        <v>0.000160846153846154</v>
      </c>
      <c r="G28" s="23">
        <f t="shared" si="3"/>
        <v>-0.00841853139282773</v>
      </c>
      <c r="J28" s="21"/>
    </row>
    <row r="29" spans="1:10">
      <c r="A29" s="28" t="s">
        <v>30</v>
      </c>
      <c r="B29" s="27">
        <v>61200</v>
      </c>
      <c r="C29" s="2">
        <f t="shared" si="1"/>
        <v>0.0149253731343284</v>
      </c>
      <c r="D29" s="2">
        <f t="shared" si="2"/>
        <v>0.0148150857851407</v>
      </c>
      <c r="E29" s="23">
        <v>0.04186</v>
      </c>
      <c r="F29" s="2">
        <f t="shared" si="0"/>
        <v>0.000161</v>
      </c>
      <c r="G29" s="23">
        <f t="shared" si="3"/>
        <v>0.0146540857851407</v>
      </c>
      <c r="J29" s="21"/>
    </row>
    <row r="30" spans="1:10">
      <c r="A30" s="28" t="s">
        <v>31</v>
      </c>
      <c r="B30" s="27">
        <v>61800</v>
      </c>
      <c r="C30" s="2">
        <f t="shared" si="1"/>
        <v>0.00980392156862745</v>
      </c>
      <c r="D30" s="2">
        <f t="shared" si="2"/>
        <v>0.00975617494536466</v>
      </c>
      <c r="E30" s="23">
        <v>0.04183</v>
      </c>
      <c r="F30" s="2">
        <f t="shared" si="0"/>
        <v>0.000160884615384615</v>
      </c>
      <c r="G30" s="23">
        <f t="shared" si="3"/>
        <v>0.00959529032998004</v>
      </c>
      <c r="J30" s="21"/>
    </row>
    <row r="31" spans="1:10">
      <c r="A31" s="28" t="s">
        <v>32</v>
      </c>
      <c r="B31" s="27">
        <v>62100</v>
      </c>
      <c r="C31" s="2">
        <f t="shared" si="1"/>
        <v>0.00485436893203883</v>
      </c>
      <c r="D31" s="2">
        <f t="shared" si="2"/>
        <v>0.00484262447578799</v>
      </c>
      <c r="E31" s="23">
        <v>0.04182</v>
      </c>
      <c r="F31" s="2">
        <f t="shared" si="0"/>
        <v>0.000160846153846154</v>
      </c>
      <c r="G31" s="23">
        <f t="shared" si="3"/>
        <v>0.00468177832194184</v>
      </c>
      <c r="J31" s="21"/>
    </row>
    <row r="32" spans="1:10">
      <c r="A32" s="28" t="s">
        <v>33</v>
      </c>
      <c r="B32" s="27">
        <v>61500</v>
      </c>
      <c r="C32" s="2">
        <f t="shared" si="1"/>
        <v>-0.00966183574879227</v>
      </c>
      <c r="D32" s="2">
        <f t="shared" si="2"/>
        <v>-0.00970881412696094</v>
      </c>
      <c r="E32" s="23">
        <v>0.04179</v>
      </c>
      <c r="F32" s="2">
        <f t="shared" si="0"/>
        <v>0.000160730769230769</v>
      </c>
      <c r="G32" s="23">
        <f t="shared" si="3"/>
        <v>-0.00986954489619171</v>
      </c>
    </row>
    <row r="33" spans="1:10">
      <c r="A33" s="28" t="s">
        <v>34</v>
      </c>
      <c r="B33" s="27">
        <v>61300</v>
      </c>
      <c r="C33" s="2">
        <f t="shared" si="1"/>
        <v>-0.0032520325203252</v>
      </c>
      <c r="D33" s="2">
        <f t="shared" ref="D33:D96" si="4">LN(B33/B32)</f>
        <v>-0.00325733187030651</v>
      </c>
      <c r="E33" s="23">
        <v>0.04179</v>
      </c>
      <c r="F33" s="2">
        <f t="shared" si="0"/>
        <v>0.000160730769230769</v>
      </c>
      <c r="G33" s="23">
        <f t="shared" si="3"/>
        <v>-0.00341806263953728</v>
      </c>
    </row>
    <row r="34" spans="1:10">
      <c r="A34" s="28" t="s">
        <v>35</v>
      </c>
      <c r="B34" s="27">
        <v>61500</v>
      </c>
      <c r="C34" s="2">
        <f t="shared" si="1"/>
        <v>0.0032626427406199</v>
      </c>
      <c r="D34" s="2">
        <f t="shared" si="4"/>
        <v>0.0032573318703065</v>
      </c>
      <c r="E34" s="23">
        <v>0.04159</v>
      </c>
      <c r="F34" s="2">
        <f t="shared" si="0"/>
        <v>0.000159961538461538</v>
      </c>
      <c r="G34" s="23">
        <f t="shared" si="3"/>
        <v>0.00309737033184497</v>
      </c>
    </row>
    <row r="35" spans="1:10">
      <c r="A35" s="28" t="s">
        <v>36</v>
      </c>
      <c r="B35" s="27">
        <v>62600</v>
      </c>
      <c r="C35" s="2">
        <f t="shared" si="1"/>
        <v>0.0178861788617886</v>
      </c>
      <c r="D35" s="2">
        <f t="shared" si="4"/>
        <v>0.0177281032935806</v>
      </c>
      <c r="E35" s="23">
        <v>0.04159</v>
      </c>
      <c r="F35" s="2">
        <f t="shared" si="0"/>
        <v>0.000159961538461538</v>
      </c>
      <c r="G35" s="23">
        <f t="shared" si="3"/>
        <v>0.0175681417551191</v>
      </c>
    </row>
    <row r="36" spans="1:10">
      <c r="A36" s="28" t="s">
        <v>37</v>
      </c>
      <c r="B36" s="27">
        <v>63200</v>
      </c>
      <c r="C36" s="2">
        <f t="shared" si="1"/>
        <v>0.00958466453674121</v>
      </c>
      <c r="D36" s="2">
        <f t="shared" si="4"/>
        <v>0.00953902304675891</v>
      </c>
      <c r="E36" s="23">
        <v>0.04157</v>
      </c>
      <c r="F36" s="2">
        <f t="shared" si="0"/>
        <v>0.000159884615384615</v>
      </c>
      <c r="G36" s="23">
        <f t="shared" si="3"/>
        <v>0.00937913843137429</v>
      </c>
    </row>
    <row r="37" spans="1:10">
      <c r="A37" s="28" t="s">
        <v>38</v>
      </c>
      <c r="B37" s="27">
        <v>64000</v>
      </c>
      <c r="C37" s="2">
        <f t="shared" si="1"/>
        <v>0.0126582278481013</v>
      </c>
      <c r="D37" s="2">
        <f t="shared" si="4"/>
        <v>0.0125787822068602</v>
      </c>
      <c r="E37" s="23">
        <v>0.04153</v>
      </c>
      <c r="F37" s="2">
        <f t="shared" si="0"/>
        <v>0.000159730769230769</v>
      </c>
      <c r="G37" s="23">
        <f t="shared" si="3"/>
        <v>0.0124190514376294</v>
      </c>
    </row>
    <row r="38" spans="1:10">
      <c r="A38" s="28" t="s">
        <v>39</v>
      </c>
      <c r="B38" s="27">
        <v>63900</v>
      </c>
      <c r="C38" s="2">
        <f t="shared" si="1"/>
        <v>-0.0015625</v>
      </c>
      <c r="D38" s="2">
        <f t="shared" si="4"/>
        <v>-0.00156372197618276</v>
      </c>
      <c r="E38" s="23">
        <v>0.04144</v>
      </c>
      <c r="F38" s="2">
        <f t="shared" si="0"/>
        <v>0.000159384615384615</v>
      </c>
      <c r="G38" s="23">
        <f t="shared" si="3"/>
        <v>-0.00172310659156737</v>
      </c>
    </row>
    <row r="39" spans="1:10">
      <c r="A39" s="28" t="s">
        <v>40</v>
      </c>
      <c r="B39" s="27">
        <v>62900</v>
      </c>
      <c r="C39" s="2">
        <f t="shared" si="1"/>
        <v>-0.0156494522691706</v>
      </c>
      <c r="D39" s="2">
        <f t="shared" si="4"/>
        <v>-0.0157731976770943</v>
      </c>
      <c r="E39" s="23">
        <v>0.04128</v>
      </c>
      <c r="F39" s="2">
        <f t="shared" si="0"/>
        <v>0.000158769230769231</v>
      </c>
      <c r="G39" s="23">
        <f t="shared" si="3"/>
        <v>-0.0159319669078635</v>
      </c>
    </row>
    <row r="40" spans="1:10">
      <c r="A40" s="28" t="s">
        <v>41</v>
      </c>
      <c r="B40" s="27">
        <v>64200</v>
      </c>
      <c r="C40" s="2">
        <f t="shared" si="1"/>
        <v>0.0206677265500795</v>
      </c>
      <c r="D40" s="2">
        <f t="shared" si="4"/>
        <v>0.0204570469895206</v>
      </c>
      <c r="E40" s="23">
        <v>0.0413</v>
      </c>
      <c r="F40" s="2">
        <f t="shared" si="0"/>
        <v>0.000158846153846154</v>
      </c>
      <c r="G40" s="23">
        <f t="shared" si="3"/>
        <v>0.0202982008356744</v>
      </c>
    </row>
    <row r="41" spans="1:10">
      <c r="A41" s="28" t="s">
        <v>42</v>
      </c>
      <c r="B41" s="27">
        <v>62000</v>
      </c>
      <c r="C41" s="2">
        <f t="shared" si="1"/>
        <v>-0.0342679127725857</v>
      </c>
      <c r="D41" s="2">
        <f t="shared" si="4"/>
        <v>-0.0348688256508239</v>
      </c>
      <c r="E41" s="23">
        <v>0.04126</v>
      </c>
      <c r="F41" s="2">
        <f t="shared" si="0"/>
        <v>0.000158692307692308</v>
      </c>
      <c r="G41" s="23">
        <f t="shared" si="3"/>
        <v>-0.0350275179585162</v>
      </c>
    </row>
    <row r="42" spans="1:10">
      <c r="A42" s="26">
        <v>46003</v>
      </c>
      <c r="B42" s="27">
        <v>60200</v>
      </c>
      <c r="C42" s="2">
        <f t="shared" si="1"/>
        <v>-0.0290322580645161</v>
      </c>
      <c r="D42" s="2">
        <f t="shared" si="4"/>
        <v>-0.0294620327303162</v>
      </c>
      <c r="E42" s="23">
        <v>0.04124</v>
      </c>
      <c r="F42" s="2">
        <f t="shared" si="0"/>
        <v>0.000158615384615385</v>
      </c>
      <c r="G42" s="23">
        <f t="shared" si="3"/>
        <v>-0.0296206481149316</v>
      </c>
    </row>
    <row r="43" spans="1:10">
      <c r="A43" s="26">
        <v>45973</v>
      </c>
      <c r="B43" s="27">
        <v>61500</v>
      </c>
      <c r="C43" s="2">
        <f t="shared" si="1"/>
        <v>0.0215946843853821</v>
      </c>
      <c r="D43" s="2">
        <f t="shared" si="4"/>
        <v>0.0213648224976968</v>
      </c>
      <c r="E43" s="23">
        <v>0.04127</v>
      </c>
      <c r="F43" s="2">
        <f t="shared" si="0"/>
        <v>0.000158730769230769</v>
      </c>
      <c r="G43" s="23">
        <f t="shared" si="3"/>
        <v>0.021206091728466</v>
      </c>
    </row>
    <row r="44" spans="1:10">
      <c r="A44" s="26">
        <v>45942</v>
      </c>
      <c r="B44" s="27">
        <v>63100</v>
      </c>
      <c r="C44" s="2">
        <f t="shared" si="1"/>
        <v>0.0260162601626016</v>
      </c>
      <c r="D44" s="2">
        <f t="shared" si="4"/>
        <v>0.0256835947346954</v>
      </c>
      <c r="E44" s="23">
        <v>0.04097</v>
      </c>
      <c r="F44" s="2">
        <f t="shared" si="0"/>
        <v>0.000157576923076923</v>
      </c>
      <c r="G44" s="23">
        <f t="shared" si="3"/>
        <v>0.0255260178116185</v>
      </c>
    </row>
    <row r="45" spans="1:10">
      <c r="A45" s="26">
        <v>45912</v>
      </c>
      <c r="B45" s="27">
        <v>62500</v>
      </c>
      <c r="C45" s="2">
        <f t="shared" si="1"/>
        <v>-0.00950871632329636</v>
      </c>
      <c r="D45" s="2">
        <f t="shared" si="4"/>
        <v>-0.00955421280481161</v>
      </c>
      <c r="E45" s="23">
        <v>0.04098</v>
      </c>
      <c r="F45" s="2">
        <f t="shared" si="0"/>
        <v>0.000157615384615385</v>
      </c>
      <c r="G45" s="23">
        <f t="shared" si="3"/>
        <v>-0.009711828189427</v>
      </c>
      <c r="J45" s="21"/>
    </row>
    <row r="46" spans="1:10">
      <c r="A46" s="26">
        <v>45881</v>
      </c>
      <c r="B46" s="27">
        <v>63500</v>
      </c>
      <c r="C46" s="2">
        <f t="shared" si="1"/>
        <v>0.016</v>
      </c>
      <c r="D46" s="2">
        <f t="shared" si="4"/>
        <v>0.0158733491562902</v>
      </c>
      <c r="E46" s="23">
        <v>0.04098</v>
      </c>
      <c r="F46" s="2">
        <f t="shared" si="0"/>
        <v>0.000157615384615385</v>
      </c>
      <c r="G46" s="23">
        <f t="shared" si="3"/>
        <v>0.0157157337716748</v>
      </c>
      <c r="J46" s="21"/>
    </row>
    <row r="47" spans="1:10">
      <c r="A47" s="26">
        <v>45789</v>
      </c>
      <c r="B47" s="27">
        <v>63400</v>
      </c>
      <c r="C47" s="2">
        <f t="shared" si="1"/>
        <v>-0.0015748031496063</v>
      </c>
      <c r="D47" s="2">
        <f t="shared" si="4"/>
        <v>-0.00157604445546577</v>
      </c>
      <c r="E47" s="23">
        <v>0.04097</v>
      </c>
      <c r="F47" s="2">
        <f t="shared" si="0"/>
        <v>0.000157576923076923</v>
      </c>
      <c r="G47" s="23">
        <f t="shared" si="3"/>
        <v>-0.00173362137854269</v>
      </c>
      <c r="J47" s="21"/>
    </row>
    <row r="48" spans="1:10">
      <c r="A48" s="26">
        <v>45759</v>
      </c>
      <c r="B48" s="27">
        <v>63400</v>
      </c>
      <c r="C48" s="2">
        <f t="shared" si="1"/>
        <v>0</v>
      </c>
      <c r="D48" s="2">
        <f t="shared" si="4"/>
        <v>0</v>
      </c>
      <c r="E48" s="23">
        <v>0.04078</v>
      </c>
      <c r="F48" s="2">
        <f t="shared" si="0"/>
        <v>0.000156846153846154</v>
      </c>
      <c r="G48" s="23">
        <f t="shared" si="3"/>
        <v>-0.000156846153846154</v>
      </c>
      <c r="J48" s="21"/>
    </row>
    <row r="49" spans="1:10">
      <c r="A49" s="26">
        <v>45728</v>
      </c>
      <c r="B49" s="27">
        <v>64600</v>
      </c>
      <c r="C49" s="2">
        <f t="shared" si="1"/>
        <v>0.0189274447949527</v>
      </c>
      <c r="D49" s="2">
        <f t="shared" si="4"/>
        <v>0.018750549345376</v>
      </c>
      <c r="E49" s="23">
        <v>0.04084</v>
      </c>
      <c r="F49" s="2">
        <f t="shared" si="0"/>
        <v>0.000157076923076923</v>
      </c>
      <c r="G49" s="23">
        <f t="shared" si="3"/>
        <v>0.0185934724222991</v>
      </c>
      <c r="J49" s="21"/>
    </row>
    <row r="50" spans="1:10">
      <c r="A50" s="26">
        <v>45700</v>
      </c>
      <c r="B50" s="27">
        <v>65000</v>
      </c>
      <c r="C50" s="2">
        <f t="shared" si="1"/>
        <v>0.00619195046439629</v>
      </c>
      <c r="D50" s="2">
        <f t="shared" si="4"/>
        <v>0.00617285910708102</v>
      </c>
      <c r="E50" s="23">
        <v>0.04064</v>
      </c>
      <c r="F50" s="2">
        <f t="shared" si="0"/>
        <v>0.000156307692307692</v>
      </c>
      <c r="G50" s="23">
        <f t="shared" si="3"/>
        <v>0.00601655141477332</v>
      </c>
      <c r="J50" s="21"/>
    </row>
    <row r="51" spans="1:10">
      <c r="A51" s="26">
        <v>45669</v>
      </c>
      <c r="B51" s="27">
        <v>64900</v>
      </c>
      <c r="C51" s="2">
        <f t="shared" si="1"/>
        <v>-0.00153846153846154</v>
      </c>
      <c r="D51" s="2">
        <f t="shared" si="4"/>
        <v>-0.00153964618559275</v>
      </c>
      <c r="E51" s="23">
        <v>0.04049</v>
      </c>
      <c r="F51" s="2">
        <f t="shared" si="0"/>
        <v>0.000155730769230769</v>
      </c>
      <c r="G51" s="23">
        <f t="shared" si="3"/>
        <v>-0.00169537695482352</v>
      </c>
      <c r="J51" s="21"/>
    </row>
    <row r="52" spans="1:10">
      <c r="A52" s="28" t="s">
        <v>43</v>
      </c>
      <c r="B52" s="27">
        <v>64000</v>
      </c>
      <c r="C52" s="2">
        <f t="shared" si="1"/>
        <v>-0.0138674884437596</v>
      </c>
      <c r="D52" s="2">
        <f t="shared" si="4"/>
        <v>-0.0139645403503724</v>
      </c>
      <c r="E52" s="23">
        <v>0.04031</v>
      </c>
      <c r="F52" s="2">
        <f t="shared" si="0"/>
        <v>0.000155038461538462</v>
      </c>
      <c r="G52" s="23">
        <f t="shared" si="3"/>
        <v>-0.0141195788119109</v>
      </c>
      <c r="J52" s="21"/>
    </row>
    <row r="53" spans="1:10">
      <c r="A53" s="28" t="s">
        <v>44</v>
      </c>
      <c r="B53" s="27">
        <v>62000</v>
      </c>
      <c r="C53" s="2">
        <f t="shared" si="1"/>
        <v>-0.03125</v>
      </c>
      <c r="D53" s="2">
        <f t="shared" si="4"/>
        <v>-0.0317486983145803</v>
      </c>
      <c r="E53" s="23">
        <v>0.04028</v>
      </c>
      <c r="F53" s="2">
        <f t="shared" si="0"/>
        <v>0.000154923076923077</v>
      </c>
      <c r="G53" s="23">
        <f t="shared" si="3"/>
        <v>-0.0319036213915034</v>
      </c>
      <c r="J53" s="21"/>
    </row>
    <row r="54" spans="1:10">
      <c r="A54" s="28" t="s">
        <v>45</v>
      </c>
      <c r="B54" s="27">
        <v>62800</v>
      </c>
      <c r="C54" s="2">
        <f t="shared" si="1"/>
        <v>0.0129032258064516</v>
      </c>
      <c r="D54" s="2">
        <f t="shared" si="4"/>
        <v>0.0128206884290615</v>
      </c>
      <c r="E54" s="23">
        <v>0.03999</v>
      </c>
      <c r="F54" s="2">
        <f t="shared" si="0"/>
        <v>0.000153807692307692</v>
      </c>
      <c r="G54" s="23">
        <f t="shared" si="3"/>
        <v>0.0126668807367538</v>
      </c>
      <c r="J54" s="21"/>
    </row>
    <row r="55" spans="1:10">
      <c r="A55" s="28" t="s">
        <v>46</v>
      </c>
      <c r="B55" s="27">
        <v>61900</v>
      </c>
      <c r="C55" s="2">
        <f t="shared" si="1"/>
        <v>-0.0143312101910828</v>
      </c>
      <c r="D55" s="2">
        <f t="shared" si="4"/>
        <v>-0.0144348937836026</v>
      </c>
      <c r="E55" s="23">
        <v>0.0401</v>
      </c>
      <c r="F55" s="2">
        <f t="shared" si="0"/>
        <v>0.000154230769230769</v>
      </c>
      <c r="G55" s="23">
        <f t="shared" si="3"/>
        <v>-0.0145891245528334</v>
      </c>
    </row>
    <row r="56" spans="1:10">
      <c r="A56" s="28" t="s">
        <v>47</v>
      </c>
      <c r="B56" s="27">
        <v>63000</v>
      </c>
      <c r="C56" s="2">
        <f t="shared" si="1"/>
        <v>0.0177705977382876</v>
      </c>
      <c r="D56" s="2">
        <f t="shared" si="4"/>
        <v>0.0176145467009823</v>
      </c>
      <c r="E56" s="23">
        <v>0.04012</v>
      </c>
      <c r="F56" s="2">
        <f t="shared" si="0"/>
        <v>0.000154307692307692</v>
      </c>
      <c r="G56" s="23">
        <f t="shared" si="3"/>
        <v>0.0174602390086746</v>
      </c>
    </row>
    <row r="57" spans="1:10">
      <c r="A57" s="28" t="s">
        <v>48</v>
      </c>
      <c r="B57" s="27">
        <v>59900</v>
      </c>
      <c r="C57" s="2">
        <f t="shared" si="1"/>
        <v>-0.0492063492063492</v>
      </c>
      <c r="D57" s="2">
        <f t="shared" si="4"/>
        <v>-0.0504582212701291</v>
      </c>
      <c r="E57" s="23">
        <v>0.03985</v>
      </c>
      <c r="F57" s="2">
        <f t="shared" si="0"/>
        <v>0.000153269230769231</v>
      </c>
      <c r="G57" s="23">
        <f t="shared" si="3"/>
        <v>-0.0506114905008983</v>
      </c>
    </row>
    <row r="58" spans="1:10">
      <c r="A58" s="28" t="s">
        <v>49</v>
      </c>
      <c r="B58" s="27">
        <v>60700</v>
      </c>
      <c r="C58" s="2">
        <f t="shared" si="1"/>
        <v>0.013355592654424</v>
      </c>
      <c r="D58" s="2">
        <f t="shared" si="4"/>
        <v>0.0132671929440489</v>
      </c>
      <c r="E58" s="23">
        <v>0.04012</v>
      </c>
      <c r="F58" s="2">
        <f t="shared" si="0"/>
        <v>0.000154307692307692</v>
      </c>
      <c r="G58" s="23">
        <f t="shared" si="3"/>
        <v>0.0131128852517412</v>
      </c>
    </row>
    <row r="59" spans="1:10">
      <c r="A59" s="28" t="s">
        <v>50</v>
      </c>
      <c r="B59" s="27">
        <v>60900</v>
      </c>
      <c r="C59" s="2">
        <f t="shared" si="1"/>
        <v>0.00329489291598023</v>
      </c>
      <c r="D59" s="2">
        <f t="shared" si="4"/>
        <v>0.00328947665039871</v>
      </c>
      <c r="E59" s="23">
        <v>0.04</v>
      </c>
      <c r="F59" s="2">
        <f t="shared" si="0"/>
        <v>0.000153846153846154</v>
      </c>
      <c r="G59" s="23">
        <f t="shared" si="3"/>
        <v>0.00313563049655255</v>
      </c>
    </row>
    <row r="60" spans="1:10">
      <c r="A60" s="28" t="s">
        <v>51</v>
      </c>
      <c r="B60" s="27">
        <v>60700</v>
      </c>
      <c r="C60" s="2">
        <f t="shared" si="1"/>
        <v>-0.00328407224958949</v>
      </c>
      <c r="D60" s="2">
        <f t="shared" si="4"/>
        <v>-0.00328947665039876</v>
      </c>
      <c r="E60" s="23">
        <v>0.03992</v>
      </c>
      <c r="F60" s="2">
        <f t="shared" si="0"/>
        <v>0.000153538461538462</v>
      </c>
      <c r="G60" s="23">
        <f t="shared" si="3"/>
        <v>-0.00344301511193722</v>
      </c>
    </row>
    <row r="61" spans="1:10">
      <c r="A61" s="28" t="s">
        <v>52</v>
      </c>
      <c r="B61" s="27">
        <v>62100</v>
      </c>
      <c r="C61" s="2">
        <f t="shared" si="1"/>
        <v>0.0230642504118616</v>
      </c>
      <c r="D61" s="2">
        <f t="shared" si="4"/>
        <v>0.0228022908739806</v>
      </c>
      <c r="E61" s="23">
        <v>0.04004</v>
      </c>
      <c r="F61" s="2">
        <f t="shared" si="0"/>
        <v>0.000154</v>
      </c>
      <c r="G61" s="23">
        <f t="shared" si="3"/>
        <v>0.0226482908739805</v>
      </c>
    </row>
    <row r="62" spans="1:10">
      <c r="A62" s="28" t="s">
        <v>53</v>
      </c>
      <c r="B62" s="27">
        <v>62800</v>
      </c>
      <c r="C62" s="2">
        <f t="shared" si="1"/>
        <v>0.0112721417069243</v>
      </c>
      <c r="D62" s="2">
        <f t="shared" si="4"/>
        <v>0.01120908453472</v>
      </c>
      <c r="E62" s="23">
        <v>0.04004</v>
      </c>
      <c r="F62" s="2">
        <f t="shared" si="0"/>
        <v>0.000154</v>
      </c>
      <c r="G62" s="23">
        <f t="shared" si="3"/>
        <v>0.01105508453472</v>
      </c>
    </row>
    <row r="63" spans="1:10">
      <c r="A63" s="28" t="s">
        <v>54</v>
      </c>
      <c r="B63" s="27">
        <v>61800</v>
      </c>
      <c r="C63" s="2">
        <f t="shared" si="1"/>
        <v>-0.0159235668789809</v>
      </c>
      <c r="D63" s="2">
        <f t="shared" si="4"/>
        <v>-0.0160517090105079</v>
      </c>
      <c r="E63" s="23">
        <v>0.04005</v>
      </c>
      <c r="F63" s="2">
        <f t="shared" si="0"/>
        <v>0.000154038461538462</v>
      </c>
      <c r="G63" s="23">
        <f t="shared" si="3"/>
        <v>-0.0162057474720464</v>
      </c>
    </row>
    <row r="64" spans="1:10">
      <c r="A64" s="26">
        <v>46002</v>
      </c>
      <c r="B64" s="27">
        <v>59800</v>
      </c>
      <c r="C64" s="2">
        <f t="shared" si="1"/>
        <v>-0.0323624595469256</v>
      </c>
      <c r="D64" s="2">
        <f t="shared" si="4"/>
        <v>-0.032897703507059</v>
      </c>
      <c r="E64" s="23">
        <v>0.03991</v>
      </c>
      <c r="F64" s="2">
        <f t="shared" si="0"/>
        <v>0.0001535</v>
      </c>
      <c r="G64" s="23">
        <f t="shared" si="3"/>
        <v>-0.033051203507059</v>
      </c>
    </row>
    <row r="65" spans="1:10">
      <c r="A65" s="26">
        <v>45972</v>
      </c>
      <c r="B65" s="27">
        <v>58900</v>
      </c>
      <c r="C65" s="2">
        <f t="shared" si="1"/>
        <v>-0.0150501672240803</v>
      </c>
      <c r="D65" s="2">
        <f t="shared" si="4"/>
        <v>-0.015164570299045</v>
      </c>
      <c r="E65" s="23">
        <v>0.03976</v>
      </c>
      <c r="F65" s="2">
        <f t="shared" si="0"/>
        <v>0.000152923076923077</v>
      </c>
      <c r="G65" s="23">
        <f t="shared" si="3"/>
        <v>-0.0153174933759681</v>
      </c>
    </row>
    <row r="66" spans="1:10">
      <c r="A66" s="26">
        <v>45941</v>
      </c>
      <c r="B66" s="27">
        <v>57000</v>
      </c>
      <c r="C66" s="2">
        <f t="shared" si="1"/>
        <v>-0.032258064516129</v>
      </c>
      <c r="D66" s="2">
        <f t="shared" si="4"/>
        <v>-0.0327898228229908</v>
      </c>
      <c r="E66" s="23">
        <v>0.03987</v>
      </c>
      <c r="F66" s="2">
        <f t="shared" si="0"/>
        <v>0.000153346153846154</v>
      </c>
      <c r="G66" s="23">
        <f t="shared" si="3"/>
        <v>-0.032943168976837</v>
      </c>
    </row>
    <row r="67" spans="1:10">
      <c r="A67" s="26">
        <v>45849</v>
      </c>
      <c r="B67" s="27">
        <v>57600</v>
      </c>
      <c r="C67" s="2">
        <f t="shared" si="1"/>
        <v>0.0105263157894737</v>
      </c>
      <c r="D67" s="2">
        <f t="shared" si="4"/>
        <v>0.0104712998672954</v>
      </c>
      <c r="E67" s="23">
        <v>0.03978</v>
      </c>
      <c r="F67" s="2">
        <f t="shared" ref="F67:F130" si="5">E67/260</f>
        <v>0.000153</v>
      </c>
      <c r="G67" s="23">
        <f t="shared" si="3"/>
        <v>0.0103182998672954</v>
      </c>
      <c r="J67" s="21"/>
    </row>
    <row r="68" spans="1:10">
      <c r="A68" s="26">
        <v>45819</v>
      </c>
      <c r="B68" s="27">
        <v>58000</v>
      </c>
      <c r="C68" s="2">
        <f t="shared" ref="C68:C131" si="6">(B68-B67)/B67</f>
        <v>0.00694444444444444</v>
      </c>
      <c r="D68" s="2">
        <f t="shared" si="4"/>
        <v>0.00692044284457376</v>
      </c>
      <c r="E68" s="23">
        <v>0.03976</v>
      </c>
      <c r="F68" s="2">
        <f t="shared" si="5"/>
        <v>0.000152923076923077</v>
      </c>
      <c r="G68" s="23">
        <f t="shared" ref="G68:G131" si="7">D68-F68</f>
        <v>0.00676751976765068</v>
      </c>
      <c r="J68" s="21"/>
    </row>
    <row r="69" spans="1:10">
      <c r="A69" s="26">
        <v>45788</v>
      </c>
      <c r="B69" s="27">
        <v>58000</v>
      </c>
      <c r="C69" s="2">
        <f t="shared" si="6"/>
        <v>0</v>
      </c>
      <c r="D69" s="2">
        <f t="shared" si="4"/>
        <v>0</v>
      </c>
      <c r="E69" s="23">
        <v>0.03969</v>
      </c>
      <c r="F69" s="2">
        <f t="shared" si="5"/>
        <v>0.000152653846153846</v>
      </c>
      <c r="G69" s="23">
        <f t="shared" si="7"/>
        <v>-0.000152653846153846</v>
      </c>
      <c r="J69" s="21"/>
    </row>
    <row r="70" spans="1:10">
      <c r="A70" s="26">
        <v>45758</v>
      </c>
      <c r="B70" s="27">
        <v>57300</v>
      </c>
      <c r="C70" s="2">
        <f t="shared" si="6"/>
        <v>-0.0120689655172414</v>
      </c>
      <c r="D70" s="2">
        <f t="shared" si="4"/>
        <v>-0.0121423868257254</v>
      </c>
      <c r="E70" s="23">
        <v>0.03965</v>
      </c>
      <c r="F70" s="2">
        <f t="shared" si="5"/>
        <v>0.0001525</v>
      </c>
      <c r="G70" s="23">
        <f t="shared" si="7"/>
        <v>-0.0122948868257254</v>
      </c>
      <c r="J70" s="21"/>
    </row>
    <row r="71" spans="1:10">
      <c r="A71" s="26">
        <v>45727</v>
      </c>
      <c r="B71" s="27">
        <v>57300</v>
      </c>
      <c r="C71" s="2">
        <f t="shared" si="6"/>
        <v>0</v>
      </c>
      <c r="D71" s="2">
        <f t="shared" si="4"/>
        <v>0</v>
      </c>
      <c r="E71" s="23">
        <v>0.03964</v>
      </c>
      <c r="F71" s="2">
        <f t="shared" si="5"/>
        <v>0.000152461538461538</v>
      </c>
      <c r="G71" s="23">
        <f t="shared" si="7"/>
        <v>-0.000152461538461538</v>
      </c>
      <c r="J71" s="21"/>
    </row>
    <row r="72" spans="1:10">
      <c r="A72" s="28" t="s">
        <v>55</v>
      </c>
      <c r="B72" s="27">
        <v>57600</v>
      </c>
      <c r="C72" s="2">
        <f t="shared" si="6"/>
        <v>0.00523560209424084</v>
      </c>
      <c r="D72" s="2">
        <f t="shared" si="4"/>
        <v>0.00522194398115162</v>
      </c>
      <c r="E72" s="23">
        <v>0.03954</v>
      </c>
      <c r="F72" s="2">
        <f t="shared" si="5"/>
        <v>0.000152076923076923</v>
      </c>
      <c r="G72" s="23">
        <f t="shared" si="7"/>
        <v>0.0050698670580747</v>
      </c>
      <c r="J72" s="21"/>
    </row>
    <row r="73" spans="1:10">
      <c r="A73" s="28" t="s">
        <v>56</v>
      </c>
      <c r="B73" s="27">
        <v>57100</v>
      </c>
      <c r="C73" s="2">
        <f t="shared" si="6"/>
        <v>-0.00868055555555556</v>
      </c>
      <c r="D73" s="2">
        <f t="shared" si="4"/>
        <v>-0.00871845103988105</v>
      </c>
      <c r="E73" s="23">
        <v>0.03937</v>
      </c>
      <c r="F73" s="2">
        <f t="shared" si="5"/>
        <v>0.000151423076923077</v>
      </c>
      <c r="G73" s="23">
        <f t="shared" si="7"/>
        <v>-0.00886987411680412</v>
      </c>
      <c r="J73" s="21"/>
    </row>
    <row r="74" spans="1:10">
      <c r="A74" s="28" t="s">
        <v>57</v>
      </c>
      <c r="B74" s="27">
        <v>57500</v>
      </c>
      <c r="C74" s="2">
        <f t="shared" si="6"/>
        <v>0.00700525394045534</v>
      </c>
      <c r="D74" s="2">
        <f t="shared" si="4"/>
        <v>0.00698083114134014</v>
      </c>
      <c r="E74" s="23">
        <v>0.03923</v>
      </c>
      <c r="F74" s="2">
        <f t="shared" si="5"/>
        <v>0.000150884615384615</v>
      </c>
      <c r="G74" s="23">
        <f t="shared" si="7"/>
        <v>0.00682994652595553</v>
      </c>
      <c r="J74" s="21"/>
    </row>
    <row r="75" spans="1:10">
      <c r="A75" s="28" t="s">
        <v>58</v>
      </c>
      <c r="B75" s="27">
        <v>57400</v>
      </c>
      <c r="C75" s="2">
        <f t="shared" si="6"/>
        <v>-0.00173913043478261</v>
      </c>
      <c r="D75" s="2">
        <f t="shared" si="4"/>
        <v>-0.00174064447778399</v>
      </c>
      <c r="E75" s="23">
        <v>0.03922</v>
      </c>
      <c r="F75" s="2">
        <f t="shared" si="5"/>
        <v>0.000150846153846154</v>
      </c>
      <c r="G75" s="23">
        <f t="shared" si="7"/>
        <v>-0.00189149063163014</v>
      </c>
    </row>
    <row r="76" spans="1:10">
      <c r="A76" s="28" t="s">
        <v>59</v>
      </c>
      <c r="B76" s="27">
        <v>57000</v>
      </c>
      <c r="C76" s="2">
        <f t="shared" si="6"/>
        <v>-0.00696864111498258</v>
      </c>
      <c r="D76" s="2">
        <f t="shared" si="4"/>
        <v>-0.00699303549097064</v>
      </c>
      <c r="E76" s="23">
        <v>0.03919</v>
      </c>
      <c r="F76" s="2">
        <f t="shared" si="5"/>
        <v>0.000150730769230769</v>
      </c>
      <c r="G76" s="23">
        <f t="shared" si="7"/>
        <v>-0.00714376626020141</v>
      </c>
    </row>
    <row r="77" spans="1:10">
      <c r="A77" s="28" t="s">
        <v>60</v>
      </c>
      <c r="B77" s="27">
        <v>58100</v>
      </c>
      <c r="C77" s="2">
        <f t="shared" si="6"/>
        <v>0.0192982456140351</v>
      </c>
      <c r="D77" s="2">
        <f t="shared" si="4"/>
        <v>0.0191143960233155</v>
      </c>
      <c r="E77" s="23">
        <v>0.03917</v>
      </c>
      <c r="F77" s="2">
        <f t="shared" si="5"/>
        <v>0.000150653846153846</v>
      </c>
      <c r="G77" s="23">
        <f t="shared" si="7"/>
        <v>0.0189637421771616</v>
      </c>
    </row>
    <row r="78" spans="1:10">
      <c r="A78" s="28" t="s">
        <v>61</v>
      </c>
      <c r="B78" s="27">
        <v>56600</v>
      </c>
      <c r="C78" s="2">
        <f t="shared" si="6"/>
        <v>-0.0258175559380379</v>
      </c>
      <c r="D78" s="2">
        <f t="shared" si="4"/>
        <v>-0.0261566786487283</v>
      </c>
      <c r="E78" s="23">
        <v>0.03913</v>
      </c>
      <c r="F78" s="2">
        <f t="shared" si="5"/>
        <v>0.0001505</v>
      </c>
      <c r="G78" s="23">
        <f t="shared" si="7"/>
        <v>-0.0263071786487283</v>
      </c>
    </row>
    <row r="79" spans="1:10">
      <c r="A79" s="28" t="s">
        <v>62</v>
      </c>
      <c r="B79" s="27">
        <v>56300</v>
      </c>
      <c r="C79" s="2">
        <f t="shared" si="6"/>
        <v>-0.00530035335689046</v>
      </c>
      <c r="D79" s="2">
        <f t="shared" si="4"/>
        <v>-0.00531445006349259</v>
      </c>
      <c r="E79" s="23">
        <v>0.03907</v>
      </c>
      <c r="F79" s="2">
        <f t="shared" si="5"/>
        <v>0.000150269230769231</v>
      </c>
      <c r="G79" s="23">
        <f t="shared" si="7"/>
        <v>-0.00546471929426182</v>
      </c>
    </row>
    <row r="80" spans="1:10">
      <c r="A80" s="28" t="s">
        <v>63</v>
      </c>
      <c r="B80" s="27">
        <v>56500</v>
      </c>
      <c r="C80" s="2">
        <f t="shared" si="6"/>
        <v>0.00355239786856128</v>
      </c>
      <c r="D80" s="2">
        <f t="shared" si="4"/>
        <v>0.00354610300675049</v>
      </c>
      <c r="E80" s="23">
        <v>0.03897</v>
      </c>
      <c r="F80" s="2">
        <f t="shared" si="5"/>
        <v>0.000149884615384615</v>
      </c>
      <c r="G80" s="23">
        <f t="shared" si="7"/>
        <v>0.00339621839136587</v>
      </c>
    </row>
    <row r="81" spans="1:10">
      <c r="A81" s="28" t="s">
        <v>64</v>
      </c>
      <c r="B81" s="27">
        <v>55000</v>
      </c>
      <c r="C81" s="2">
        <f t="shared" si="6"/>
        <v>-0.0265486725663717</v>
      </c>
      <c r="D81" s="2">
        <f t="shared" si="4"/>
        <v>-0.0269074529199244</v>
      </c>
      <c r="E81" s="23">
        <v>0.03898</v>
      </c>
      <c r="F81" s="2">
        <f t="shared" si="5"/>
        <v>0.000149923076923077</v>
      </c>
      <c r="G81" s="23">
        <f t="shared" si="7"/>
        <v>-0.0270573759968475</v>
      </c>
    </row>
    <row r="82" spans="1:10">
      <c r="A82" s="28" t="s">
        <v>65</v>
      </c>
      <c r="B82" s="27">
        <v>58800</v>
      </c>
      <c r="C82" s="2">
        <f t="shared" si="6"/>
        <v>0.0690909090909091</v>
      </c>
      <c r="D82" s="2">
        <f t="shared" si="4"/>
        <v>0.0668086696721103</v>
      </c>
      <c r="E82" s="23">
        <v>0.03876</v>
      </c>
      <c r="F82" s="2">
        <f t="shared" si="5"/>
        <v>0.000149076923076923</v>
      </c>
      <c r="G82" s="23">
        <f t="shared" si="7"/>
        <v>0.0666595927490334</v>
      </c>
    </row>
    <row r="83" spans="1:10">
      <c r="A83" s="28" t="s">
        <v>66</v>
      </c>
      <c r="B83" s="27">
        <v>61200</v>
      </c>
      <c r="C83" s="2">
        <f t="shared" si="6"/>
        <v>0.0408163265306122</v>
      </c>
      <c r="D83" s="2">
        <f t="shared" si="4"/>
        <v>0.0400053346136992</v>
      </c>
      <c r="E83" s="23">
        <v>0.03887</v>
      </c>
      <c r="F83" s="2">
        <f t="shared" si="5"/>
        <v>0.0001495</v>
      </c>
      <c r="G83" s="23">
        <f t="shared" si="7"/>
        <v>0.0398558346136992</v>
      </c>
    </row>
    <row r="84" spans="1:10">
      <c r="A84" s="28" t="s">
        <v>67</v>
      </c>
      <c r="B84" s="27">
        <v>60750</v>
      </c>
      <c r="C84" s="2">
        <f t="shared" si="6"/>
        <v>-0.00735294117647059</v>
      </c>
      <c r="D84" s="2">
        <f t="shared" si="4"/>
        <v>-0.00738010729762253</v>
      </c>
      <c r="E84" s="23">
        <v>0.03863</v>
      </c>
      <c r="F84" s="2">
        <f t="shared" si="5"/>
        <v>0.000148576923076923</v>
      </c>
      <c r="G84" s="23">
        <f t="shared" si="7"/>
        <v>-0.00752868422069946</v>
      </c>
    </row>
    <row r="85" spans="1:10">
      <c r="A85" s="28" t="s">
        <v>68</v>
      </c>
      <c r="B85" s="27">
        <v>60654.5</v>
      </c>
      <c r="C85" s="2">
        <f t="shared" si="6"/>
        <v>-0.00157201646090535</v>
      </c>
      <c r="D85" s="2">
        <f t="shared" si="4"/>
        <v>-0.00157325337525177</v>
      </c>
      <c r="E85" s="23">
        <v>0.03847</v>
      </c>
      <c r="F85" s="2">
        <f t="shared" si="5"/>
        <v>0.000147961538461538</v>
      </c>
      <c r="G85" s="23">
        <f t="shared" si="7"/>
        <v>-0.00172121491371331</v>
      </c>
    </row>
    <row r="86" spans="1:10">
      <c r="A86" s="28" t="s">
        <v>69</v>
      </c>
      <c r="B86" s="27">
        <v>61132.1</v>
      </c>
      <c r="C86" s="2">
        <f t="shared" si="6"/>
        <v>0.00787410662028371</v>
      </c>
      <c r="D86" s="2">
        <f t="shared" si="4"/>
        <v>0.00784326762333451</v>
      </c>
      <c r="E86" s="23">
        <v>0.0386</v>
      </c>
      <c r="F86" s="2">
        <f t="shared" si="5"/>
        <v>0.000148461538461538</v>
      </c>
      <c r="G86" s="23">
        <f t="shared" si="7"/>
        <v>0.00769480608487297</v>
      </c>
    </row>
    <row r="87" spans="1:10">
      <c r="A87" s="26">
        <v>45940</v>
      </c>
      <c r="B87" s="27">
        <v>59603.8</v>
      </c>
      <c r="C87" s="2">
        <f t="shared" si="6"/>
        <v>-0.0249999591049546</v>
      </c>
      <c r="D87" s="2">
        <f t="shared" si="4"/>
        <v>-0.0253177660406544</v>
      </c>
      <c r="E87" s="23">
        <v>0.03854</v>
      </c>
      <c r="F87" s="2">
        <f t="shared" si="5"/>
        <v>0.000148230769230769</v>
      </c>
      <c r="G87" s="23">
        <f t="shared" si="7"/>
        <v>-0.0254659968098852</v>
      </c>
    </row>
    <row r="88" spans="1:10">
      <c r="A88" s="26">
        <v>45910</v>
      </c>
      <c r="B88" s="27">
        <v>60081.4</v>
      </c>
      <c r="C88" s="2">
        <f t="shared" si="6"/>
        <v>0.00801291192843407</v>
      </c>
      <c r="D88" s="2">
        <f t="shared" si="4"/>
        <v>0.00798097901994805</v>
      </c>
      <c r="E88" s="23">
        <v>0.03841</v>
      </c>
      <c r="F88" s="2">
        <f t="shared" si="5"/>
        <v>0.000147730769230769</v>
      </c>
      <c r="G88" s="23">
        <f t="shared" si="7"/>
        <v>0.00783324825071728</v>
      </c>
    </row>
    <row r="89" spans="1:10">
      <c r="A89" s="26">
        <v>45879</v>
      </c>
      <c r="B89" s="27">
        <v>63400</v>
      </c>
      <c r="C89" s="2">
        <f t="shared" si="6"/>
        <v>0.0552350644292576</v>
      </c>
      <c r="D89" s="2">
        <f t="shared" si="4"/>
        <v>0.053763551995146</v>
      </c>
      <c r="E89" s="23">
        <v>0.03799</v>
      </c>
      <c r="F89" s="2">
        <f t="shared" si="5"/>
        <v>0.000146115384615385</v>
      </c>
      <c r="G89" s="23">
        <f t="shared" si="7"/>
        <v>0.0536174366105306</v>
      </c>
    </row>
    <row r="90" spans="1:10">
      <c r="A90" s="26">
        <v>45848</v>
      </c>
      <c r="B90" s="27">
        <v>61400</v>
      </c>
      <c r="C90" s="2">
        <f t="shared" si="6"/>
        <v>-0.0315457413249211</v>
      </c>
      <c r="D90" s="2">
        <f t="shared" si="4"/>
        <v>-0.0320540262900835</v>
      </c>
      <c r="E90" s="23">
        <v>0.03801</v>
      </c>
      <c r="F90" s="2">
        <f t="shared" si="5"/>
        <v>0.000146192307692308</v>
      </c>
      <c r="G90" s="23">
        <f t="shared" si="7"/>
        <v>-0.0322002185977758</v>
      </c>
      <c r="J90" s="21"/>
    </row>
    <row r="91" spans="1:10">
      <c r="A91" s="26">
        <v>45818</v>
      </c>
      <c r="B91" s="27">
        <v>62400</v>
      </c>
      <c r="C91" s="2">
        <f t="shared" si="6"/>
        <v>0.0162866449511401</v>
      </c>
      <c r="D91" s="2">
        <f t="shared" si="4"/>
        <v>0.0161554402222852</v>
      </c>
      <c r="E91" s="23">
        <v>0.038</v>
      </c>
      <c r="F91" s="2">
        <f t="shared" si="5"/>
        <v>0.000146153846153846</v>
      </c>
      <c r="G91" s="23">
        <f t="shared" si="7"/>
        <v>0.0160092863761314</v>
      </c>
      <c r="J91" s="21"/>
    </row>
    <row r="92" spans="1:10">
      <c r="A92" s="26">
        <v>45726</v>
      </c>
      <c r="B92" s="27">
        <v>61300</v>
      </c>
      <c r="C92" s="2">
        <f t="shared" si="6"/>
        <v>-0.0176282051282051</v>
      </c>
      <c r="D92" s="2">
        <f t="shared" si="4"/>
        <v>-0.0177854324332163</v>
      </c>
      <c r="E92" s="23">
        <v>0.0379</v>
      </c>
      <c r="F92" s="2">
        <f t="shared" si="5"/>
        <v>0.000145769230769231</v>
      </c>
      <c r="G92" s="23">
        <f t="shared" si="7"/>
        <v>-0.0179312016639855</v>
      </c>
      <c r="J92" s="21"/>
    </row>
    <row r="93" spans="1:10">
      <c r="A93" s="26">
        <v>45698</v>
      </c>
      <c r="B93" s="27">
        <v>61200</v>
      </c>
      <c r="C93" s="2">
        <f t="shared" si="6"/>
        <v>-0.00163132137030995</v>
      </c>
      <c r="D93" s="2">
        <f t="shared" si="4"/>
        <v>-0.00163265342388533</v>
      </c>
      <c r="E93" s="23">
        <v>0.0379</v>
      </c>
      <c r="F93" s="2">
        <f t="shared" si="5"/>
        <v>0.000145769230769231</v>
      </c>
      <c r="G93" s="23">
        <f t="shared" si="7"/>
        <v>-0.00177842265465457</v>
      </c>
      <c r="J93" s="21"/>
    </row>
    <row r="94" spans="1:10">
      <c r="A94" s="26">
        <v>45667</v>
      </c>
      <c r="B94" s="27">
        <v>62100</v>
      </c>
      <c r="C94" s="2">
        <f t="shared" si="6"/>
        <v>0.0147058823529412</v>
      </c>
      <c r="D94" s="2">
        <f t="shared" si="4"/>
        <v>0.0145987994211526</v>
      </c>
      <c r="E94" s="23">
        <v>0.03761</v>
      </c>
      <c r="F94" s="2">
        <f t="shared" si="5"/>
        <v>0.000144653846153846</v>
      </c>
      <c r="G94" s="23">
        <f t="shared" si="7"/>
        <v>0.0144541455749988</v>
      </c>
      <c r="J94" s="21"/>
    </row>
    <row r="95" spans="1:10">
      <c r="A95" s="28" t="s">
        <v>70</v>
      </c>
      <c r="B95" s="27">
        <v>60000</v>
      </c>
      <c r="C95" s="2">
        <f t="shared" si="6"/>
        <v>-0.0338164251207729</v>
      </c>
      <c r="D95" s="2">
        <f t="shared" si="4"/>
        <v>-0.0344014267173324</v>
      </c>
      <c r="E95" s="23">
        <v>0.03761</v>
      </c>
      <c r="F95" s="2">
        <f t="shared" si="5"/>
        <v>0.000144653846153846</v>
      </c>
      <c r="G95" s="23">
        <f t="shared" si="7"/>
        <v>-0.0345460805634863</v>
      </c>
      <c r="J95" s="21"/>
    </row>
    <row r="96" spans="1:10">
      <c r="A96" s="28" t="s">
        <v>71</v>
      </c>
      <c r="B96" s="27">
        <v>60300</v>
      </c>
      <c r="C96" s="2">
        <f t="shared" si="6"/>
        <v>0.005</v>
      </c>
      <c r="D96" s="2">
        <f t="shared" si="4"/>
        <v>0.00498754151103897</v>
      </c>
      <c r="E96" s="23">
        <v>0.03761</v>
      </c>
      <c r="F96" s="2">
        <f t="shared" si="5"/>
        <v>0.000144653846153846</v>
      </c>
      <c r="G96" s="23">
        <f t="shared" si="7"/>
        <v>0.00484288766488512</v>
      </c>
      <c r="J96" s="21"/>
    </row>
    <row r="97" spans="1:10">
      <c r="A97" s="28" t="s">
        <v>72</v>
      </c>
      <c r="B97" s="27">
        <v>61100</v>
      </c>
      <c r="C97" s="2">
        <f t="shared" si="6"/>
        <v>0.0132669983416252</v>
      </c>
      <c r="D97" s="2">
        <f t="shared" ref="D97:D160" si="8">LN(B97/B96)</f>
        <v>0.0131797624444098</v>
      </c>
      <c r="E97" s="23">
        <v>0.03759</v>
      </c>
      <c r="F97" s="2">
        <f t="shared" si="5"/>
        <v>0.000144576923076923</v>
      </c>
      <c r="G97" s="23">
        <f t="shared" si="7"/>
        <v>0.0130351855213329</v>
      </c>
      <c r="J97" s="21"/>
    </row>
    <row r="98" spans="1:10">
      <c r="A98" s="28" t="s">
        <v>73</v>
      </c>
      <c r="B98" s="27">
        <v>61500</v>
      </c>
      <c r="C98" s="2">
        <f t="shared" si="6"/>
        <v>0.00654664484451719</v>
      </c>
      <c r="D98" s="2">
        <f t="shared" si="8"/>
        <v>0.00652530863492264</v>
      </c>
      <c r="E98" s="23">
        <v>0.0375</v>
      </c>
      <c r="F98" s="2">
        <f t="shared" si="5"/>
        <v>0.000144230769230769</v>
      </c>
      <c r="G98" s="23">
        <f t="shared" si="7"/>
        <v>0.00638107786569187</v>
      </c>
    </row>
    <row r="99" spans="1:10">
      <c r="A99" s="28" t="s">
        <v>74</v>
      </c>
      <c r="B99" s="27">
        <v>62000</v>
      </c>
      <c r="C99" s="2">
        <f t="shared" si="6"/>
        <v>0.00813008130081301</v>
      </c>
      <c r="D99" s="2">
        <f t="shared" si="8"/>
        <v>0.0080972102326193</v>
      </c>
      <c r="E99" s="23">
        <v>0.03707</v>
      </c>
      <c r="F99" s="2">
        <f t="shared" si="5"/>
        <v>0.000142576923076923</v>
      </c>
      <c r="G99" s="23">
        <f t="shared" si="7"/>
        <v>0.00795463330954238</v>
      </c>
    </row>
    <row r="100" spans="1:10">
      <c r="A100" s="28" t="s">
        <v>75</v>
      </c>
      <c r="B100" s="27">
        <v>61600</v>
      </c>
      <c r="C100" s="2">
        <f t="shared" si="6"/>
        <v>-0.00645161290322581</v>
      </c>
      <c r="D100" s="2">
        <f t="shared" si="8"/>
        <v>-0.00647251450561748</v>
      </c>
      <c r="E100" s="23">
        <v>0.03707</v>
      </c>
      <c r="F100" s="2">
        <f t="shared" si="5"/>
        <v>0.000142576923076923</v>
      </c>
      <c r="G100" s="23">
        <f t="shared" si="7"/>
        <v>-0.0066150914286944</v>
      </c>
    </row>
    <row r="101" spans="1:10">
      <c r="A101" s="28" t="s">
        <v>76</v>
      </c>
      <c r="B101" s="27">
        <v>61400</v>
      </c>
      <c r="C101" s="2">
        <f t="shared" si="6"/>
        <v>-0.00324675324675325</v>
      </c>
      <c r="D101" s="2">
        <f t="shared" si="8"/>
        <v>-0.00325203538637734</v>
      </c>
      <c r="E101" s="23">
        <v>0.03707</v>
      </c>
      <c r="F101" s="2">
        <f t="shared" si="5"/>
        <v>0.000142576923076923</v>
      </c>
      <c r="G101" s="23">
        <f t="shared" si="7"/>
        <v>-0.00339461230945427</v>
      </c>
    </row>
    <row r="102" spans="1:10">
      <c r="A102" s="28" t="s">
        <v>77</v>
      </c>
      <c r="B102" s="27">
        <v>62000</v>
      </c>
      <c r="C102" s="2">
        <f t="shared" si="6"/>
        <v>0.00977198697068404</v>
      </c>
      <c r="D102" s="2">
        <f t="shared" si="8"/>
        <v>0.00972454989199478</v>
      </c>
      <c r="E102" s="23">
        <v>0.03704</v>
      </c>
      <c r="F102" s="2">
        <f t="shared" si="5"/>
        <v>0.000142461538461538</v>
      </c>
      <c r="G102" s="23">
        <f t="shared" si="7"/>
        <v>0.00958208835353324</v>
      </c>
    </row>
    <row r="103" spans="1:10">
      <c r="A103" s="28" t="s">
        <v>78</v>
      </c>
      <c r="B103" s="27">
        <v>63600</v>
      </c>
      <c r="C103" s="2">
        <f t="shared" si="6"/>
        <v>0.0258064516129032</v>
      </c>
      <c r="D103" s="2">
        <f t="shared" si="8"/>
        <v>0.025479085300985</v>
      </c>
      <c r="E103" s="23">
        <v>0.03697</v>
      </c>
      <c r="F103" s="2">
        <f t="shared" si="5"/>
        <v>0.000142192307692308</v>
      </c>
      <c r="G103" s="23">
        <f t="shared" si="7"/>
        <v>0.0253368929932927</v>
      </c>
    </row>
    <row r="104" spans="1:10">
      <c r="A104" s="28" t="s">
        <v>79</v>
      </c>
      <c r="B104" s="27">
        <v>65100</v>
      </c>
      <c r="C104" s="2">
        <f t="shared" si="6"/>
        <v>0.0235849056603774</v>
      </c>
      <c r="D104" s="2">
        <f t="shared" si="8"/>
        <v>0.0233110788684471</v>
      </c>
      <c r="E104" s="23">
        <v>0.03689</v>
      </c>
      <c r="F104" s="2">
        <f t="shared" si="5"/>
        <v>0.000141884615384615</v>
      </c>
      <c r="G104" s="23">
        <f t="shared" si="7"/>
        <v>0.0231691942530625</v>
      </c>
    </row>
    <row r="105" spans="1:10">
      <c r="A105" s="28" t="s">
        <v>80</v>
      </c>
      <c r="B105" s="27">
        <v>64700</v>
      </c>
      <c r="C105" s="2">
        <f t="shared" si="6"/>
        <v>-0.00614439324116743</v>
      </c>
      <c r="D105" s="2">
        <f t="shared" si="8"/>
        <v>-0.00616334770766869</v>
      </c>
      <c r="E105" s="23">
        <v>0.0369</v>
      </c>
      <c r="F105" s="2">
        <f t="shared" si="5"/>
        <v>0.000141923076923077</v>
      </c>
      <c r="G105" s="23">
        <f t="shared" si="7"/>
        <v>-0.00630527078459176</v>
      </c>
    </row>
    <row r="106" spans="1:10">
      <c r="A106" s="28" t="s">
        <v>81</v>
      </c>
      <c r="B106" s="27">
        <v>63100</v>
      </c>
      <c r="C106" s="2">
        <f t="shared" si="6"/>
        <v>-0.0247295208655332</v>
      </c>
      <c r="D106" s="2">
        <f t="shared" si="8"/>
        <v>-0.0250404319596874</v>
      </c>
      <c r="E106" s="23">
        <v>0.0369</v>
      </c>
      <c r="F106" s="2">
        <f t="shared" si="5"/>
        <v>0.000141923076923077</v>
      </c>
      <c r="G106" s="23">
        <f t="shared" si="7"/>
        <v>-0.0251823550366105</v>
      </c>
    </row>
    <row r="107" spans="1:10">
      <c r="A107" s="26">
        <v>46000</v>
      </c>
      <c r="B107" s="27">
        <v>63200</v>
      </c>
      <c r="C107" s="2">
        <f t="shared" si="6"/>
        <v>0.00158478605388273</v>
      </c>
      <c r="D107" s="2">
        <f t="shared" si="8"/>
        <v>0.00158353160564422</v>
      </c>
      <c r="E107" s="23">
        <v>0.03695</v>
      </c>
      <c r="F107" s="2">
        <f t="shared" si="5"/>
        <v>0.000142115384615385</v>
      </c>
      <c r="G107" s="23">
        <f t="shared" si="7"/>
        <v>0.00144141622102884</v>
      </c>
    </row>
    <row r="108" spans="1:10">
      <c r="A108" s="26">
        <v>45970</v>
      </c>
      <c r="B108" s="27">
        <v>61200</v>
      </c>
      <c r="C108" s="2">
        <f t="shared" si="6"/>
        <v>-0.0316455696202532</v>
      </c>
      <c r="D108" s="2">
        <f t="shared" si="8"/>
        <v>-0.0321571116345313</v>
      </c>
      <c r="E108" s="23">
        <v>0.03689</v>
      </c>
      <c r="F108" s="2">
        <f t="shared" si="5"/>
        <v>0.000141884615384615</v>
      </c>
      <c r="G108" s="23">
        <f t="shared" si="7"/>
        <v>-0.0322989962499159</v>
      </c>
    </row>
    <row r="109" spans="1:10">
      <c r="A109" s="26">
        <v>45939</v>
      </c>
      <c r="B109" s="27">
        <v>59800</v>
      </c>
      <c r="C109" s="2">
        <f t="shared" si="6"/>
        <v>-0.0228758169934641</v>
      </c>
      <c r="D109" s="2">
        <f t="shared" si="8"/>
        <v>-0.0231415285616944</v>
      </c>
      <c r="E109" s="23">
        <v>0.0368</v>
      </c>
      <c r="F109" s="2">
        <f t="shared" si="5"/>
        <v>0.000141538461538462</v>
      </c>
      <c r="G109" s="23">
        <f t="shared" si="7"/>
        <v>-0.0232830670232328</v>
      </c>
    </row>
    <row r="110" spans="1:10">
      <c r="A110" s="26">
        <v>45909</v>
      </c>
      <c r="B110" s="27">
        <v>60300</v>
      </c>
      <c r="C110" s="2">
        <f t="shared" si="6"/>
        <v>0.00836120401337793</v>
      </c>
      <c r="D110" s="2">
        <f t="shared" si="8"/>
        <v>0.00832644277655381</v>
      </c>
      <c r="E110" s="23">
        <v>0.0367</v>
      </c>
      <c r="F110" s="2">
        <f t="shared" si="5"/>
        <v>0.000141153846153846</v>
      </c>
      <c r="G110" s="23">
        <f t="shared" si="7"/>
        <v>0.00818528893039996</v>
      </c>
      <c r="J110" s="21"/>
    </row>
    <row r="111" spans="1:10">
      <c r="A111" s="26">
        <v>45878</v>
      </c>
      <c r="B111" s="27">
        <v>60600</v>
      </c>
      <c r="C111" s="2">
        <f t="shared" si="6"/>
        <v>0.00497512437810945</v>
      </c>
      <c r="D111" s="2">
        <f t="shared" si="8"/>
        <v>0.0049627893421291</v>
      </c>
      <c r="E111" s="23">
        <v>0.03664</v>
      </c>
      <c r="F111" s="2">
        <f t="shared" si="5"/>
        <v>0.000140923076923077</v>
      </c>
      <c r="G111" s="23">
        <f t="shared" si="7"/>
        <v>0.00482186626520602</v>
      </c>
      <c r="J111" s="21"/>
    </row>
    <row r="112" spans="1:10">
      <c r="A112" s="26">
        <v>45786</v>
      </c>
      <c r="B112" s="27">
        <v>60900</v>
      </c>
      <c r="C112" s="2">
        <f t="shared" si="6"/>
        <v>0.00495049504950495</v>
      </c>
      <c r="D112" s="2">
        <f t="shared" si="8"/>
        <v>0.00493828164058258</v>
      </c>
      <c r="E112" s="23">
        <v>0.03664</v>
      </c>
      <c r="F112" s="2">
        <f t="shared" si="5"/>
        <v>0.000140923076923077</v>
      </c>
      <c r="G112" s="23">
        <f t="shared" si="7"/>
        <v>0.0047973585636595</v>
      </c>
      <c r="J112" s="21"/>
    </row>
    <row r="113" spans="1:10">
      <c r="A113" s="26">
        <v>45756</v>
      </c>
      <c r="B113" s="27">
        <v>61800</v>
      </c>
      <c r="C113" s="2">
        <f t="shared" si="6"/>
        <v>0.0147783251231527</v>
      </c>
      <c r="D113" s="2">
        <f t="shared" si="8"/>
        <v>0.0146701897477938</v>
      </c>
      <c r="E113" s="23">
        <v>0.03693</v>
      </c>
      <c r="F113" s="2">
        <f t="shared" si="5"/>
        <v>0.000142038461538462</v>
      </c>
      <c r="G113" s="23">
        <f t="shared" si="7"/>
        <v>0.0145281512862554</v>
      </c>
      <c r="J113" s="21"/>
    </row>
    <row r="114" spans="1:10">
      <c r="A114" s="26">
        <v>45725</v>
      </c>
      <c r="B114" s="27">
        <v>61500</v>
      </c>
      <c r="C114" s="2">
        <f t="shared" si="6"/>
        <v>-0.00485436893203883</v>
      </c>
      <c r="D114" s="2">
        <f t="shared" si="8"/>
        <v>-0.0048661896511729</v>
      </c>
      <c r="E114" s="23">
        <v>0.03693</v>
      </c>
      <c r="F114" s="2">
        <f t="shared" si="5"/>
        <v>0.000142038461538462</v>
      </c>
      <c r="G114" s="23">
        <f t="shared" si="7"/>
        <v>-0.00500822811271136</v>
      </c>
      <c r="J114" s="21"/>
    </row>
    <row r="115" spans="1:10">
      <c r="A115" s="28" t="s">
        <v>82</v>
      </c>
      <c r="B115" s="27">
        <v>60300</v>
      </c>
      <c r="C115" s="2">
        <f t="shared" si="6"/>
        <v>-0.0195121951219512</v>
      </c>
      <c r="D115" s="2">
        <f t="shared" si="8"/>
        <v>-0.0197050710793324</v>
      </c>
      <c r="E115" s="23">
        <v>0.03689</v>
      </c>
      <c r="F115" s="2">
        <f t="shared" si="5"/>
        <v>0.000141884615384615</v>
      </c>
      <c r="G115" s="23">
        <f t="shared" si="7"/>
        <v>-0.0198469556947171</v>
      </c>
      <c r="J115" s="21"/>
    </row>
    <row r="116" spans="1:10">
      <c r="A116" s="28" t="s">
        <v>83</v>
      </c>
      <c r="B116" s="27">
        <v>61000</v>
      </c>
      <c r="C116" s="2">
        <f t="shared" si="6"/>
        <v>0.0116086235489221</v>
      </c>
      <c r="D116" s="2">
        <f t="shared" si="8"/>
        <v>0.0115417604401715</v>
      </c>
      <c r="E116" s="23">
        <v>0.03685</v>
      </c>
      <c r="F116" s="2">
        <f t="shared" si="5"/>
        <v>0.000141730769230769</v>
      </c>
      <c r="G116" s="23">
        <f t="shared" si="7"/>
        <v>0.0114000296709408</v>
      </c>
      <c r="J116" s="21"/>
    </row>
    <row r="117" spans="1:10">
      <c r="A117" s="28" t="s">
        <v>84</v>
      </c>
      <c r="B117" s="27">
        <v>60500</v>
      </c>
      <c r="C117" s="2">
        <f t="shared" si="6"/>
        <v>-0.00819672131147541</v>
      </c>
      <c r="D117" s="2">
        <f t="shared" si="8"/>
        <v>-0.00823049913651548</v>
      </c>
      <c r="E117" s="23">
        <v>0.0369</v>
      </c>
      <c r="F117" s="2">
        <f t="shared" si="5"/>
        <v>0.000141923076923077</v>
      </c>
      <c r="G117" s="23">
        <f t="shared" si="7"/>
        <v>-0.00837242221343856</v>
      </c>
      <c r="J117" s="21"/>
    </row>
    <row r="118" spans="1:10">
      <c r="A118" s="28" t="s">
        <v>85</v>
      </c>
      <c r="B118" s="27">
        <v>59700</v>
      </c>
      <c r="C118" s="2">
        <f t="shared" si="6"/>
        <v>-0.0132231404958678</v>
      </c>
      <c r="D118" s="2">
        <f t="shared" si="8"/>
        <v>-0.0133113446382394</v>
      </c>
      <c r="E118" s="23">
        <v>0.03689</v>
      </c>
      <c r="F118" s="2">
        <f t="shared" si="5"/>
        <v>0.000141884615384615</v>
      </c>
      <c r="G118" s="23">
        <f t="shared" si="7"/>
        <v>-0.013453229253624</v>
      </c>
      <c r="J118" s="21"/>
    </row>
    <row r="119" spans="1:10">
      <c r="A119" s="28" t="s">
        <v>86</v>
      </c>
      <c r="B119" s="27">
        <v>58700</v>
      </c>
      <c r="C119" s="2">
        <f t="shared" si="6"/>
        <v>-0.016750418760469</v>
      </c>
      <c r="D119" s="2">
        <f t="shared" si="8"/>
        <v>-0.0168922935645056</v>
      </c>
      <c r="E119" s="23">
        <v>0.03676</v>
      </c>
      <c r="F119" s="2">
        <f t="shared" si="5"/>
        <v>0.000141384615384615</v>
      </c>
      <c r="G119" s="23">
        <f t="shared" si="7"/>
        <v>-0.0170336781798903</v>
      </c>
      <c r="J119" s="21"/>
    </row>
    <row r="120" spans="1:10">
      <c r="A120" s="28" t="s">
        <v>87</v>
      </c>
      <c r="B120" s="27">
        <v>58700</v>
      </c>
      <c r="C120" s="2">
        <f t="shared" si="6"/>
        <v>0</v>
      </c>
      <c r="D120" s="2">
        <f t="shared" si="8"/>
        <v>0</v>
      </c>
      <c r="E120" s="23">
        <v>0.03672</v>
      </c>
      <c r="F120" s="2">
        <f t="shared" si="5"/>
        <v>0.000141230769230769</v>
      </c>
      <c r="G120" s="23">
        <f t="shared" si="7"/>
        <v>-0.000141230769230769</v>
      </c>
    </row>
    <row r="121" spans="1:10">
      <c r="A121" s="28" t="s">
        <v>88</v>
      </c>
      <c r="B121" s="27">
        <v>60100</v>
      </c>
      <c r="C121" s="2">
        <f t="shared" si="6"/>
        <v>0.0238500851788756</v>
      </c>
      <c r="D121" s="2">
        <f t="shared" si="8"/>
        <v>0.0235701147071112</v>
      </c>
      <c r="E121" s="23">
        <v>0.03619</v>
      </c>
      <c r="F121" s="2">
        <f t="shared" si="5"/>
        <v>0.000139192307692308</v>
      </c>
      <c r="G121" s="23">
        <f t="shared" si="7"/>
        <v>0.0234309223994188</v>
      </c>
    </row>
    <row r="122" spans="1:10">
      <c r="A122" s="28" t="s">
        <v>89</v>
      </c>
      <c r="B122" s="27">
        <v>60000</v>
      </c>
      <c r="C122" s="2">
        <f t="shared" si="6"/>
        <v>-0.00166389351081531</v>
      </c>
      <c r="D122" s="2">
        <f t="shared" si="8"/>
        <v>-0.00166527931906121</v>
      </c>
      <c r="E122" s="23">
        <v>0.03561</v>
      </c>
      <c r="F122" s="2">
        <f t="shared" si="5"/>
        <v>0.000136961538461538</v>
      </c>
      <c r="G122" s="23">
        <f t="shared" si="7"/>
        <v>-0.00180224085752275</v>
      </c>
    </row>
    <row r="123" spans="1:10">
      <c r="A123" s="28" t="s">
        <v>90</v>
      </c>
      <c r="B123" s="27">
        <v>60500</v>
      </c>
      <c r="C123" s="2">
        <f t="shared" si="6"/>
        <v>0.00833333333333333</v>
      </c>
      <c r="D123" s="2">
        <f t="shared" si="8"/>
        <v>0.00829880281469506</v>
      </c>
      <c r="E123" s="23">
        <v>0.03563</v>
      </c>
      <c r="F123" s="2">
        <f t="shared" si="5"/>
        <v>0.000137038461538462</v>
      </c>
      <c r="G123" s="23">
        <f t="shared" si="7"/>
        <v>0.0081617643531566</v>
      </c>
    </row>
    <row r="124" spans="1:10">
      <c r="A124" s="28" t="s">
        <v>91</v>
      </c>
      <c r="B124" s="27">
        <v>60700</v>
      </c>
      <c r="C124" s="2">
        <f t="shared" si="6"/>
        <v>0.00330578512396694</v>
      </c>
      <c r="D124" s="2">
        <f t="shared" si="8"/>
        <v>0.0033003330286567</v>
      </c>
      <c r="E124" s="23">
        <v>0.03555</v>
      </c>
      <c r="F124" s="2">
        <f t="shared" si="5"/>
        <v>0.000136730769230769</v>
      </c>
      <c r="G124" s="23">
        <f t="shared" si="7"/>
        <v>0.00316360225942593</v>
      </c>
    </row>
    <row r="125" spans="1:10">
      <c r="A125" s="28" t="s">
        <v>92</v>
      </c>
      <c r="B125" s="27">
        <v>61000</v>
      </c>
      <c r="C125" s="2">
        <f t="shared" si="6"/>
        <v>0.00494233937397035</v>
      </c>
      <c r="D125" s="2">
        <f t="shared" si="8"/>
        <v>0.00493016610785859</v>
      </c>
      <c r="E125" s="23">
        <v>0.0356</v>
      </c>
      <c r="F125" s="2">
        <f t="shared" si="5"/>
        <v>0.000136923076923077</v>
      </c>
      <c r="G125" s="23">
        <f t="shared" si="7"/>
        <v>0.00479324303093551</v>
      </c>
    </row>
    <row r="126" spans="1:10">
      <c r="A126" s="28" t="s">
        <v>93</v>
      </c>
      <c r="B126" s="27">
        <v>61700</v>
      </c>
      <c r="C126" s="2">
        <f t="shared" si="6"/>
        <v>0.0114754098360656</v>
      </c>
      <c r="D126" s="2">
        <f t="shared" si="8"/>
        <v>0.011410066738031</v>
      </c>
      <c r="E126" s="23">
        <v>0.03551</v>
      </c>
      <c r="F126" s="2">
        <f t="shared" si="5"/>
        <v>0.000136576923076923</v>
      </c>
      <c r="G126" s="23">
        <f t="shared" si="7"/>
        <v>0.011273489814954</v>
      </c>
    </row>
    <row r="127" spans="1:10">
      <c r="A127" s="28" t="s">
        <v>94</v>
      </c>
      <c r="B127" s="27">
        <v>61100</v>
      </c>
      <c r="C127" s="2">
        <f t="shared" si="6"/>
        <v>-0.00972447325769854</v>
      </c>
      <c r="D127" s="2">
        <f t="shared" si="8"/>
        <v>-0.00977206473379249</v>
      </c>
      <c r="E127" s="23">
        <v>0.03503</v>
      </c>
      <c r="F127" s="2">
        <f t="shared" si="5"/>
        <v>0.000134730769230769</v>
      </c>
      <c r="G127" s="23">
        <f t="shared" si="7"/>
        <v>-0.00990679550302326</v>
      </c>
    </row>
    <row r="128" spans="1:10">
      <c r="A128" s="26">
        <v>45999</v>
      </c>
      <c r="B128" s="27">
        <v>61800</v>
      </c>
      <c r="C128" s="2">
        <f t="shared" si="6"/>
        <v>0.0114566284779051</v>
      </c>
      <c r="D128" s="2">
        <f t="shared" si="8"/>
        <v>0.0113914982860956</v>
      </c>
      <c r="E128" s="23">
        <v>0.03497</v>
      </c>
      <c r="F128" s="2">
        <f t="shared" si="5"/>
        <v>0.0001345</v>
      </c>
      <c r="G128" s="23">
        <f t="shared" si="7"/>
        <v>0.0112569982860956</v>
      </c>
    </row>
    <row r="129" spans="1:10">
      <c r="A129" s="26">
        <v>45969</v>
      </c>
      <c r="B129" s="27">
        <v>61500</v>
      </c>
      <c r="C129" s="2">
        <f t="shared" si="6"/>
        <v>-0.00485436893203883</v>
      </c>
      <c r="D129" s="2">
        <f t="shared" si="8"/>
        <v>-0.0048661896511729</v>
      </c>
      <c r="E129" s="23">
        <v>0.03496</v>
      </c>
      <c r="F129" s="2">
        <f t="shared" si="5"/>
        <v>0.000134461538461538</v>
      </c>
      <c r="G129" s="23">
        <f t="shared" si="7"/>
        <v>-0.00500065118963444</v>
      </c>
    </row>
    <row r="130" spans="1:10">
      <c r="A130" s="26">
        <v>45877</v>
      </c>
      <c r="B130" s="27">
        <v>60800</v>
      </c>
      <c r="C130" s="2">
        <f t="shared" si="6"/>
        <v>-0.0113821138211382</v>
      </c>
      <c r="D130" s="2">
        <f t="shared" si="8"/>
        <v>-0.0114473858403508</v>
      </c>
      <c r="E130" s="23">
        <v>0.03492</v>
      </c>
      <c r="F130" s="2">
        <f t="shared" si="5"/>
        <v>0.000134307692307692</v>
      </c>
      <c r="G130" s="23">
        <f t="shared" si="7"/>
        <v>-0.0115816935326585</v>
      </c>
    </row>
    <row r="131" spans="1:10">
      <c r="A131" s="26">
        <v>45846</v>
      </c>
      <c r="B131" s="27">
        <v>60900</v>
      </c>
      <c r="C131" s="2">
        <f t="shared" si="6"/>
        <v>0.00164473684210526</v>
      </c>
      <c r="D131" s="2">
        <f t="shared" si="8"/>
        <v>0.00164338574373006</v>
      </c>
      <c r="E131" s="23">
        <v>0.03503</v>
      </c>
      <c r="F131" s="2">
        <f t="shared" ref="F131:F194" si="9">E131/260</f>
        <v>0.000134730769230769</v>
      </c>
      <c r="G131" s="23">
        <f t="shared" si="7"/>
        <v>0.00150865497449929</v>
      </c>
    </row>
    <row r="132" spans="1:10">
      <c r="A132" s="26">
        <v>45816</v>
      </c>
      <c r="B132" s="27">
        <v>61300</v>
      </c>
      <c r="C132" s="2">
        <f t="shared" ref="C132:C195" si="10">(B132-B131)/B131</f>
        <v>0.00656814449917898</v>
      </c>
      <c r="D132" s="2">
        <f t="shared" si="8"/>
        <v>0.00654666822631437</v>
      </c>
      <c r="E132" s="23">
        <v>0.03469</v>
      </c>
      <c r="F132" s="2">
        <f t="shared" si="9"/>
        <v>0.000133423076923077</v>
      </c>
      <c r="G132" s="23">
        <f t="shared" ref="G132:G195" si="11">D132-F132</f>
        <v>0.00641324514939129</v>
      </c>
    </row>
    <row r="133" spans="1:10">
      <c r="A133" s="26">
        <v>45785</v>
      </c>
      <c r="B133" s="27">
        <v>60100</v>
      </c>
      <c r="C133" s="2">
        <f t="shared" si="10"/>
        <v>-0.0195758564437194</v>
      </c>
      <c r="D133" s="2">
        <f t="shared" si="8"/>
        <v>-0.0197700014010038</v>
      </c>
      <c r="E133" s="23">
        <v>0.03462</v>
      </c>
      <c r="F133" s="2">
        <f t="shared" si="9"/>
        <v>0.000133153846153846</v>
      </c>
      <c r="G133" s="23">
        <f t="shared" si="11"/>
        <v>-0.0199031552471577</v>
      </c>
      <c r="J133" s="21"/>
    </row>
    <row r="134" spans="1:10">
      <c r="A134" s="26">
        <v>45755</v>
      </c>
      <c r="B134" s="27">
        <v>60400</v>
      </c>
      <c r="C134" s="2">
        <f t="shared" si="10"/>
        <v>0.00499168053244592</v>
      </c>
      <c r="D134" s="2">
        <f t="shared" si="8"/>
        <v>0.00497926339960736</v>
      </c>
      <c r="E134" s="23">
        <v>0.03462</v>
      </c>
      <c r="F134" s="2">
        <f t="shared" si="9"/>
        <v>0.000133153846153846</v>
      </c>
      <c r="G134" s="23">
        <f t="shared" si="11"/>
        <v>0.00484610955345352</v>
      </c>
      <c r="J134" s="21"/>
    </row>
    <row r="135" spans="1:10">
      <c r="A135" s="26">
        <v>45665</v>
      </c>
      <c r="B135" s="27">
        <v>60000</v>
      </c>
      <c r="C135" s="2">
        <f t="shared" si="10"/>
        <v>-0.00662251655629139</v>
      </c>
      <c r="D135" s="2">
        <f t="shared" si="8"/>
        <v>-0.00664454271866861</v>
      </c>
      <c r="E135" s="23">
        <v>0.03462</v>
      </c>
      <c r="F135" s="2">
        <f t="shared" si="9"/>
        <v>0.000133153846153846</v>
      </c>
      <c r="G135" s="23">
        <f t="shared" si="11"/>
        <v>-0.00677769656482246</v>
      </c>
      <c r="J135" s="21"/>
    </row>
    <row r="136" spans="1:10">
      <c r="A136" s="28" t="s">
        <v>95</v>
      </c>
      <c r="B136" s="27">
        <v>61200</v>
      </c>
      <c r="C136" s="2">
        <f t="shared" si="10"/>
        <v>0.02</v>
      </c>
      <c r="D136" s="2">
        <f t="shared" si="8"/>
        <v>0.0198026272961797</v>
      </c>
      <c r="E136" s="23">
        <v>0.03448</v>
      </c>
      <c r="F136" s="2">
        <f t="shared" si="9"/>
        <v>0.000132615384615385</v>
      </c>
      <c r="G136" s="23">
        <f t="shared" si="11"/>
        <v>0.0196700119115643</v>
      </c>
      <c r="J136" s="21"/>
    </row>
    <row r="137" spans="1:10">
      <c r="A137" s="28" t="s">
        <v>96</v>
      </c>
      <c r="B137" s="27">
        <v>62900</v>
      </c>
      <c r="C137" s="2">
        <f t="shared" si="10"/>
        <v>0.0277777777777778</v>
      </c>
      <c r="D137" s="2">
        <f t="shared" si="8"/>
        <v>0.0273989741881143</v>
      </c>
      <c r="E137" s="23">
        <v>0.03441</v>
      </c>
      <c r="F137" s="2">
        <f t="shared" si="9"/>
        <v>0.000132346153846154</v>
      </c>
      <c r="G137" s="23">
        <f t="shared" si="11"/>
        <v>0.0272666280342682</v>
      </c>
      <c r="J137" s="21"/>
    </row>
    <row r="138" spans="1:10">
      <c r="A138" s="28" t="s">
        <v>97</v>
      </c>
      <c r="B138" s="27">
        <v>63200</v>
      </c>
      <c r="C138" s="2">
        <f t="shared" si="10"/>
        <v>0.00476947535771065</v>
      </c>
      <c r="D138" s="2">
        <f t="shared" si="8"/>
        <v>0.0047581374464168</v>
      </c>
      <c r="E138" s="23">
        <v>0.03428</v>
      </c>
      <c r="F138" s="2">
        <f t="shared" si="9"/>
        <v>0.000131846153846154</v>
      </c>
      <c r="G138" s="23">
        <f t="shared" si="11"/>
        <v>0.00462629129257064</v>
      </c>
      <c r="J138" s="21"/>
    </row>
    <row r="139" spans="1:10">
      <c r="A139" s="28" t="s">
        <v>98</v>
      </c>
      <c r="B139" s="27">
        <v>63300</v>
      </c>
      <c r="C139" s="2">
        <f t="shared" si="10"/>
        <v>0.00158227848101266</v>
      </c>
      <c r="D139" s="2">
        <f t="shared" si="8"/>
        <v>0.00158102799731877</v>
      </c>
      <c r="E139" s="23">
        <v>0.03428</v>
      </c>
      <c r="F139" s="2">
        <f t="shared" si="9"/>
        <v>0.000131846153846154</v>
      </c>
      <c r="G139" s="23">
        <f t="shared" si="11"/>
        <v>0.00144918184347262</v>
      </c>
      <c r="J139" s="21"/>
    </row>
    <row r="140" spans="1:10">
      <c r="A140" s="28" t="s">
        <v>99</v>
      </c>
      <c r="B140" s="27">
        <v>63200</v>
      </c>
      <c r="C140" s="2">
        <f t="shared" si="10"/>
        <v>-0.00157977883096367</v>
      </c>
      <c r="D140" s="2">
        <f t="shared" si="8"/>
        <v>-0.00158102799731882</v>
      </c>
      <c r="E140" s="23">
        <v>0.03434</v>
      </c>
      <c r="F140" s="2">
        <f t="shared" si="9"/>
        <v>0.000132076923076923</v>
      </c>
      <c r="G140" s="23">
        <f t="shared" si="11"/>
        <v>-0.00171310492039574</v>
      </c>
      <c r="J140" s="21"/>
    </row>
    <row r="141" spans="1:10">
      <c r="A141" s="28" t="s">
        <v>100</v>
      </c>
      <c r="B141" s="27">
        <v>63700</v>
      </c>
      <c r="C141" s="2">
        <f t="shared" si="10"/>
        <v>0.00791139240506329</v>
      </c>
      <c r="D141" s="2">
        <f t="shared" si="8"/>
        <v>0.00788026142530597</v>
      </c>
      <c r="E141" s="23">
        <v>0.03439</v>
      </c>
      <c r="F141" s="2">
        <f t="shared" si="9"/>
        <v>0.000132269230769231</v>
      </c>
      <c r="G141" s="23">
        <f t="shared" si="11"/>
        <v>0.00774799219453673</v>
      </c>
    </row>
    <row r="142" spans="1:10">
      <c r="A142" s="28" t="s">
        <v>101</v>
      </c>
      <c r="B142" s="27">
        <v>61700</v>
      </c>
      <c r="C142" s="2">
        <f t="shared" si="10"/>
        <v>-0.0313971742543171</v>
      </c>
      <c r="D142" s="2">
        <f t="shared" si="8"/>
        <v>-0.0319006316667755</v>
      </c>
      <c r="E142" s="23">
        <v>0.03429</v>
      </c>
      <c r="F142" s="2">
        <f t="shared" si="9"/>
        <v>0.000131884615384615</v>
      </c>
      <c r="G142" s="23">
        <f t="shared" si="11"/>
        <v>-0.0320325162821601</v>
      </c>
    </row>
    <row r="143" spans="1:10">
      <c r="A143" s="28" t="s">
        <v>102</v>
      </c>
      <c r="B143" s="27">
        <v>60200</v>
      </c>
      <c r="C143" s="2">
        <f t="shared" si="10"/>
        <v>-0.0243111831442464</v>
      </c>
      <c r="D143" s="2">
        <f t="shared" si="8"/>
        <v>-0.0246115785965668</v>
      </c>
      <c r="E143" s="23">
        <v>0.03402</v>
      </c>
      <c r="F143" s="2">
        <f t="shared" si="9"/>
        <v>0.000130846153846154</v>
      </c>
      <c r="G143" s="23">
        <f t="shared" si="11"/>
        <v>-0.024742424750413</v>
      </c>
    </row>
    <row r="144" spans="1:10">
      <c r="A144" s="28" t="s">
        <v>103</v>
      </c>
      <c r="B144" s="27">
        <v>60000</v>
      </c>
      <c r="C144" s="2">
        <f t="shared" si="10"/>
        <v>-0.00332225913621262</v>
      </c>
      <c r="D144" s="2">
        <f t="shared" si="8"/>
        <v>-0.00332779009267469</v>
      </c>
      <c r="E144" s="23">
        <v>0.034</v>
      </c>
      <c r="F144" s="2">
        <f t="shared" si="9"/>
        <v>0.000130769230769231</v>
      </c>
      <c r="G144" s="23">
        <f t="shared" si="11"/>
        <v>-0.00345855932344392</v>
      </c>
    </row>
    <row r="145" spans="1:10">
      <c r="A145" s="28" t="s">
        <v>104</v>
      </c>
      <c r="B145" s="27">
        <v>60200</v>
      </c>
      <c r="C145" s="2">
        <f t="shared" si="10"/>
        <v>0.00333333333333333</v>
      </c>
      <c r="D145" s="2">
        <f t="shared" si="8"/>
        <v>0.00332779009267475</v>
      </c>
      <c r="E145" s="23">
        <v>0.03398</v>
      </c>
      <c r="F145" s="2">
        <f t="shared" si="9"/>
        <v>0.000130692307692308</v>
      </c>
      <c r="G145" s="23">
        <f t="shared" si="11"/>
        <v>0.00319709778498244</v>
      </c>
    </row>
    <row r="146" spans="1:10">
      <c r="A146" s="28" t="s">
        <v>105</v>
      </c>
      <c r="B146" s="27">
        <v>60100</v>
      </c>
      <c r="C146" s="2">
        <f t="shared" si="10"/>
        <v>-0.00166112956810631</v>
      </c>
      <c r="D146" s="2">
        <f t="shared" si="8"/>
        <v>-0.00166251077361341</v>
      </c>
      <c r="E146" s="23">
        <v>0.03402</v>
      </c>
      <c r="F146" s="2">
        <f t="shared" si="9"/>
        <v>0.000130846153846154</v>
      </c>
      <c r="G146" s="23">
        <f t="shared" si="11"/>
        <v>-0.00179335692745957</v>
      </c>
    </row>
    <row r="147" spans="1:10">
      <c r="A147" s="28" t="s">
        <v>106</v>
      </c>
      <c r="B147" s="27">
        <v>60100</v>
      </c>
      <c r="C147" s="2">
        <f t="shared" si="10"/>
        <v>0</v>
      </c>
      <c r="D147" s="2">
        <f t="shared" si="8"/>
        <v>0</v>
      </c>
      <c r="E147" s="23">
        <v>0.03359</v>
      </c>
      <c r="F147" s="2">
        <f t="shared" si="9"/>
        <v>0.000129192307692308</v>
      </c>
      <c r="G147" s="23">
        <f t="shared" si="11"/>
        <v>-0.000129192307692308</v>
      </c>
    </row>
    <row r="148" spans="1:10">
      <c r="A148" s="28" t="s">
        <v>107</v>
      </c>
      <c r="B148" s="27">
        <v>60100</v>
      </c>
      <c r="C148" s="2">
        <f t="shared" si="10"/>
        <v>0</v>
      </c>
      <c r="D148" s="2">
        <f t="shared" si="8"/>
        <v>0</v>
      </c>
      <c r="E148" s="23">
        <v>0.03352</v>
      </c>
      <c r="F148" s="2">
        <f t="shared" si="9"/>
        <v>0.000128923076923077</v>
      </c>
      <c r="G148" s="23">
        <f t="shared" si="11"/>
        <v>-0.000128923076923077</v>
      </c>
    </row>
    <row r="149" spans="1:10">
      <c r="A149" s="28" t="s">
        <v>108</v>
      </c>
      <c r="B149" s="27">
        <v>60300</v>
      </c>
      <c r="C149" s="2">
        <f t="shared" si="10"/>
        <v>0.00332778702163062</v>
      </c>
      <c r="D149" s="2">
        <f t="shared" si="8"/>
        <v>0.00332226219197786</v>
      </c>
      <c r="E149" s="23">
        <v>0.0335</v>
      </c>
      <c r="F149" s="2">
        <f t="shared" si="9"/>
        <v>0.000128846153846154</v>
      </c>
      <c r="G149" s="23">
        <f t="shared" si="11"/>
        <v>0.00319341603813171</v>
      </c>
    </row>
    <row r="150" spans="1:10">
      <c r="A150" s="26">
        <v>45968</v>
      </c>
      <c r="B150" s="27">
        <v>59800</v>
      </c>
      <c r="C150" s="2">
        <f t="shared" si="10"/>
        <v>-0.00829187396351575</v>
      </c>
      <c r="D150" s="2">
        <f t="shared" si="8"/>
        <v>-0.00832644277655367</v>
      </c>
      <c r="E150" s="23">
        <v>0.03352</v>
      </c>
      <c r="F150" s="2">
        <f t="shared" si="9"/>
        <v>0.000128923076923077</v>
      </c>
      <c r="G150" s="23">
        <f t="shared" si="11"/>
        <v>-0.00845536585347675</v>
      </c>
    </row>
    <row r="151" spans="1:10">
      <c r="A151" s="26">
        <v>45937</v>
      </c>
      <c r="B151" s="27">
        <v>59700</v>
      </c>
      <c r="C151" s="2">
        <f t="shared" si="10"/>
        <v>-0.00167224080267559</v>
      </c>
      <c r="D151" s="2">
        <f t="shared" si="8"/>
        <v>-0.00167364055802965</v>
      </c>
      <c r="E151" s="23">
        <v>0.03343</v>
      </c>
      <c r="F151" s="2">
        <f t="shared" si="9"/>
        <v>0.000128576923076923</v>
      </c>
      <c r="G151" s="23">
        <f t="shared" si="11"/>
        <v>-0.00180221748110657</v>
      </c>
    </row>
    <row r="152" spans="1:10">
      <c r="A152" s="26">
        <v>45907</v>
      </c>
      <c r="B152" s="27">
        <v>60200</v>
      </c>
      <c r="C152" s="2">
        <f t="shared" si="10"/>
        <v>0.00837520938023451</v>
      </c>
      <c r="D152" s="2">
        <f t="shared" si="8"/>
        <v>0.00834033191621895</v>
      </c>
      <c r="E152" s="23">
        <v>0.03342</v>
      </c>
      <c r="F152" s="2">
        <f t="shared" si="9"/>
        <v>0.000128538461538462</v>
      </c>
      <c r="G152" s="23">
        <f t="shared" si="11"/>
        <v>0.00821179345468049</v>
      </c>
    </row>
    <row r="153" spans="1:10">
      <c r="A153" s="26">
        <v>45876</v>
      </c>
      <c r="B153" s="27">
        <v>59000</v>
      </c>
      <c r="C153" s="2">
        <f t="shared" si="10"/>
        <v>-0.0199335548172757</v>
      </c>
      <c r="D153" s="2">
        <f t="shared" si="8"/>
        <v>-0.0201349084090559</v>
      </c>
      <c r="E153" s="23">
        <v>0.03343</v>
      </c>
      <c r="F153" s="2">
        <f t="shared" si="9"/>
        <v>0.000128576923076923</v>
      </c>
      <c r="G153" s="23">
        <f t="shared" si="11"/>
        <v>-0.0202634853321328</v>
      </c>
    </row>
    <row r="154" spans="1:10">
      <c r="A154" s="26">
        <v>45845</v>
      </c>
      <c r="B154" s="27">
        <v>57900</v>
      </c>
      <c r="C154" s="2">
        <f t="shared" si="10"/>
        <v>-0.0186440677966102</v>
      </c>
      <c r="D154" s="2">
        <f t="shared" si="8"/>
        <v>-0.0188200593267699</v>
      </c>
      <c r="E154" s="23">
        <v>0.03342</v>
      </c>
      <c r="F154" s="2">
        <f t="shared" si="9"/>
        <v>0.000128538461538462</v>
      </c>
      <c r="G154" s="23">
        <f t="shared" si="11"/>
        <v>-0.0189485977883084</v>
      </c>
    </row>
    <row r="155" spans="1:10">
      <c r="A155" s="26">
        <v>45754</v>
      </c>
      <c r="B155" s="27">
        <v>57800</v>
      </c>
      <c r="C155" s="2">
        <f t="shared" si="10"/>
        <v>-0.00172711571675302</v>
      </c>
      <c r="D155" s="2">
        <f t="shared" si="8"/>
        <v>-0.00172860890061774</v>
      </c>
      <c r="E155" s="23">
        <v>0.03344</v>
      </c>
      <c r="F155" s="2">
        <f t="shared" si="9"/>
        <v>0.000128615384615385</v>
      </c>
      <c r="G155" s="23">
        <f t="shared" si="11"/>
        <v>-0.00185722428523313</v>
      </c>
      <c r="J155" s="21"/>
    </row>
    <row r="156" spans="1:10">
      <c r="A156" s="26">
        <v>45723</v>
      </c>
      <c r="B156" s="27">
        <v>57500</v>
      </c>
      <c r="C156" s="2">
        <f t="shared" si="10"/>
        <v>-0.00519031141868512</v>
      </c>
      <c r="D156" s="2">
        <f t="shared" si="8"/>
        <v>-0.005203827875027</v>
      </c>
      <c r="E156" s="23">
        <v>0.03343</v>
      </c>
      <c r="F156" s="2">
        <f t="shared" si="9"/>
        <v>0.000128576923076923</v>
      </c>
      <c r="G156" s="23">
        <f t="shared" si="11"/>
        <v>-0.00533240479810392</v>
      </c>
      <c r="J156" s="21"/>
    </row>
    <row r="157" spans="1:10">
      <c r="A157" s="26">
        <v>45695</v>
      </c>
      <c r="B157" s="27">
        <v>57700</v>
      </c>
      <c r="C157" s="2">
        <f t="shared" si="10"/>
        <v>0.00347826086956522</v>
      </c>
      <c r="D157" s="2">
        <f t="shared" si="8"/>
        <v>0.00347222571074906</v>
      </c>
      <c r="E157" s="23">
        <v>0.03342</v>
      </c>
      <c r="F157" s="2">
        <f t="shared" si="9"/>
        <v>0.000128538461538462</v>
      </c>
      <c r="G157" s="23">
        <f t="shared" si="11"/>
        <v>0.0033436872492106</v>
      </c>
      <c r="J157" s="21"/>
    </row>
    <row r="158" spans="1:10">
      <c r="A158" s="26">
        <v>45664</v>
      </c>
      <c r="B158" s="27">
        <v>57500</v>
      </c>
      <c r="C158" s="2">
        <f t="shared" si="10"/>
        <v>-0.00346620450606586</v>
      </c>
      <c r="D158" s="2">
        <f t="shared" si="8"/>
        <v>-0.00347222571074909</v>
      </c>
      <c r="E158" s="23">
        <v>0.03317</v>
      </c>
      <c r="F158" s="2">
        <f t="shared" si="9"/>
        <v>0.000127576923076923</v>
      </c>
      <c r="G158" s="23">
        <f t="shared" si="11"/>
        <v>-0.00359980263382602</v>
      </c>
      <c r="J158" s="21"/>
    </row>
    <row r="159" spans="1:10">
      <c r="A159" s="28" t="s">
        <v>109</v>
      </c>
      <c r="B159" s="27">
        <v>58000</v>
      </c>
      <c r="C159" s="2">
        <f t="shared" si="10"/>
        <v>0.00869565217391304</v>
      </c>
      <c r="D159" s="2">
        <f t="shared" si="8"/>
        <v>0.00865806274311453</v>
      </c>
      <c r="E159" s="23">
        <v>0.03335</v>
      </c>
      <c r="F159" s="2">
        <f t="shared" si="9"/>
        <v>0.000128269230769231</v>
      </c>
      <c r="G159" s="23">
        <f t="shared" si="11"/>
        <v>0.0085297935123453</v>
      </c>
      <c r="J159" s="21"/>
    </row>
    <row r="160" spans="1:10">
      <c r="A160" s="28" t="s">
        <v>110</v>
      </c>
      <c r="B160" s="27">
        <v>57800</v>
      </c>
      <c r="C160" s="2">
        <f t="shared" si="10"/>
        <v>-0.00344827586206897</v>
      </c>
      <c r="D160" s="2">
        <f t="shared" si="8"/>
        <v>-0.00345423486808756</v>
      </c>
      <c r="E160" s="23">
        <v>0.03323</v>
      </c>
      <c r="F160" s="2">
        <f t="shared" si="9"/>
        <v>0.000127807692307692</v>
      </c>
      <c r="G160" s="23">
        <f t="shared" si="11"/>
        <v>-0.00358204256039525</v>
      </c>
      <c r="J160" s="21"/>
    </row>
    <row r="161" spans="1:10">
      <c r="A161" s="28" t="s">
        <v>111</v>
      </c>
      <c r="B161" s="27">
        <v>56400</v>
      </c>
      <c r="C161" s="2">
        <f t="shared" si="10"/>
        <v>-0.0242214532871972</v>
      </c>
      <c r="D161" s="2">
        <f t="shared" ref="D161:D224" si="12">LN(B161/B160)</f>
        <v>-0.0245196171743186</v>
      </c>
      <c r="E161" s="23">
        <v>0.03305</v>
      </c>
      <c r="F161" s="2">
        <f t="shared" si="9"/>
        <v>0.000127115384615385</v>
      </c>
      <c r="G161" s="23">
        <f t="shared" si="11"/>
        <v>-0.024646732558934</v>
      </c>
      <c r="J161" s="21"/>
    </row>
    <row r="162" spans="1:10">
      <c r="A162" s="28" t="s">
        <v>112</v>
      </c>
      <c r="B162" s="27">
        <v>56800</v>
      </c>
      <c r="C162" s="2">
        <f t="shared" si="10"/>
        <v>0.00709219858156028</v>
      </c>
      <c r="D162" s="2">
        <f t="shared" si="12"/>
        <v>0.00706716722309235</v>
      </c>
      <c r="E162" s="23">
        <v>0.0331</v>
      </c>
      <c r="F162" s="2">
        <f t="shared" si="9"/>
        <v>0.000127307692307692</v>
      </c>
      <c r="G162" s="23">
        <f t="shared" si="11"/>
        <v>0.00693985953078466</v>
      </c>
      <c r="J162" s="21"/>
    </row>
    <row r="163" spans="1:10">
      <c r="A163" s="28" t="s">
        <v>113</v>
      </c>
      <c r="B163" s="27">
        <v>56400</v>
      </c>
      <c r="C163" s="2">
        <f t="shared" si="10"/>
        <v>-0.00704225352112676</v>
      </c>
      <c r="D163" s="2">
        <f t="shared" si="12"/>
        <v>-0.00706716722309244</v>
      </c>
      <c r="E163" s="23">
        <v>0.03323</v>
      </c>
      <c r="F163" s="2">
        <f t="shared" si="9"/>
        <v>0.000127807692307692</v>
      </c>
      <c r="G163" s="23">
        <f t="shared" si="11"/>
        <v>-0.00719497491540014</v>
      </c>
      <c r="J163" s="21"/>
    </row>
    <row r="164" spans="1:10">
      <c r="A164" s="28" t="s">
        <v>114</v>
      </c>
      <c r="B164" s="27">
        <v>55900</v>
      </c>
      <c r="C164" s="2">
        <f t="shared" si="10"/>
        <v>-0.00886524822695036</v>
      </c>
      <c r="D164" s="2">
        <f t="shared" si="12"/>
        <v>-0.00890477834295972</v>
      </c>
      <c r="E164" s="23">
        <v>0.03315</v>
      </c>
      <c r="F164" s="2">
        <f t="shared" si="9"/>
        <v>0.0001275</v>
      </c>
      <c r="G164" s="23">
        <f t="shared" si="11"/>
        <v>-0.00903227834295972</v>
      </c>
    </row>
    <row r="165" spans="1:10">
      <c r="A165" s="28" t="s">
        <v>115</v>
      </c>
      <c r="B165" s="27">
        <v>56600</v>
      </c>
      <c r="C165" s="2">
        <f t="shared" si="10"/>
        <v>0.0125223613595707</v>
      </c>
      <c r="D165" s="2">
        <f t="shared" si="12"/>
        <v>0.0124446050480837</v>
      </c>
      <c r="E165" s="23">
        <v>0.03307</v>
      </c>
      <c r="F165" s="2">
        <f t="shared" si="9"/>
        <v>0.000127192307692308</v>
      </c>
      <c r="G165" s="23">
        <f t="shared" si="11"/>
        <v>0.0123174127403914</v>
      </c>
    </row>
    <row r="166" spans="1:10">
      <c r="A166" s="28" t="s">
        <v>116</v>
      </c>
      <c r="B166" s="27">
        <v>56100</v>
      </c>
      <c r="C166" s="2">
        <f t="shared" si="10"/>
        <v>-0.0088339222614841</v>
      </c>
      <c r="D166" s="2">
        <f t="shared" si="12"/>
        <v>-0.00887317268048657</v>
      </c>
      <c r="E166" s="23">
        <v>0.0329</v>
      </c>
      <c r="F166" s="2">
        <f t="shared" si="9"/>
        <v>0.000126538461538462</v>
      </c>
      <c r="G166" s="23">
        <f t="shared" si="11"/>
        <v>-0.00899971114202503</v>
      </c>
    </row>
    <row r="167" spans="1:10">
      <c r="A167" s="28" t="s">
        <v>117</v>
      </c>
      <c r="B167" s="27">
        <v>56000</v>
      </c>
      <c r="C167" s="2">
        <f t="shared" si="10"/>
        <v>-0.0017825311942959</v>
      </c>
      <c r="D167" s="2">
        <f t="shared" si="12"/>
        <v>-0.00178412179350144</v>
      </c>
      <c r="E167" s="23">
        <v>0.03285</v>
      </c>
      <c r="F167" s="2">
        <f t="shared" si="9"/>
        <v>0.000126346153846154</v>
      </c>
      <c r="G167" s="23">
        <f t="shared" si="11"/>
        <v>-0.0019104679473476</v>
      </c>
    </row>
    <row r="168" spans="1:10">
      <c r="A168" s="28" t="s">
        <v>118</v>
      </c>
      <c r="B168" s="27">
        <v>56200</v>
      </c>
      <c r="C168" s="2">
        <f t="shared" si="10"/>
        <v>0.00357142857142857</v>
      </c>
      <c r="D168" s="2">
        <f t="shared" si="12"/>
        <v>0.00356506616449614</v>
      </c>
      <c r="E168" s="23">
        <v>0.03277</v>
      </c>
      <c r="F168" s="2">
        <f t="shared" si="9"/>
        <v>0.000126038461538462</v>
      </c>
      <c r="G168" s="23">
        <f t="shared" si="11"/>
        <v>0.00343902770295768</v>
      </c>
    </row>
    <row r="169" spans="1:10">
      <c r="A169" s="28" t="s">
        <v>119</v>
      </c>
      <c r="B169" s="27">
        <v>56300</v>
      </c>
      <c r="C169" s="2">
        <f t="shared" si="10"/>
        <v>0.00177935943060498</v>
      </c>
      <c r="D169" s="2">
        <f t="shared" si="12"/>
        <v>0.00177777824599936</v>
      </c>
      <c r="E169" s="23">
        <v>0.03274</v>
      </c>
      <c r="F169" s="2">
        <f t="shared" si="9"/>
        <v>0.000125923076923077</v>
      </c>
      <c r="G169" s="23">
        <f t="shared" si="11"/>
        <v>0.00165185516907628</v>
      </c>
    </row>
    <row r="170" spans="1:10">
      <c r="A170" s="28" t="s">
        <v>120</v>
      </c>
      <c r="B170" s="27">
        <v>55500</v>
      </c>
      <c r="C170" s="2">
        <f t="shared" si="10"/>
        <v>-0.0142095914742451</v>
      </c>
      <c r="D170" s="2">
        <f t="shared" si="12"/>
        <v>-0.0143115143932559</v>
      </c>
      <c r="E170" s="23">
        <v>0.0327</v>
      </c>
      <c r="F170" s="2">
        <f t="shared" si="9"/>
        <v>0.000125769230769231</v>
      </c>
      <c r="G170" s="23">
        <f t="shared" si="11"/>
        <v>-0.0144372836240252</v>
      </c>
    </row>
    <row r="171" spans="1:10">
      <c r="A171" s="26">
        <v>45997</v>
      </c>
      <c r="B171" s="27">
        <v>55900</v>
      </c>
      <c r="C171" s="2">
        <f t="shared" si="10"/>
        <v>0.00720720720720721</v>
      </c>
      <c r="D171" s="2">
        <f t="shared" si="12"/>
        <v>0.00718135940866458</v>
      </c>
      <c r="E171" s="23">
        <v>0.03271</v>
      </c>
      <c r="F171" s="2">
        <f t="shared" si="9"/>
        <v>0.000125807692307692</v>
      </c>
      <c r="G171" s="23">
        <f t="shared" si="11"/>
        <v>0.00705555171635688</v>
      </c>
    </row>
    <row r="172" spans="1:10">
      <c r="A172" s="26">
        <v>45967</v>
      </c>
      <c r="B172" s="27">
        <v>55200</v>
      </c>
      <c r="C172" s="2">
        <f t="shared" si="10"/>
        <v>-0.0125223613595707</v>
      </c>
      <c r="D172" s="2">
        <f t="shared" si="12"/>
        <v>-0.0126014268780038</v>
      </c>
      <c r="E172" s="23">
        <v>0.03268</v>
      </c>
      <c r="F172" s="2">
        <f t="shared" si="9"/>
        <v>0.000125692307692308</v>
      </c>
      <c r="G172" s="23">
        <f t="shared" si="11"/>
        <v>-0.0127271191856961</v>
      </c>
    </row>
    <row r="173" spans="1:10">
      <c r="A173" s="26">
        <v>45936</v>
      </c>
      <c r="B173" s="27">
        <v>55300</v>
      </c>
      <c r="C173" s="2">
        <f t="shared" si="10"/>
        <v>0.00181159420289855</v>
      </c>
      <c r="D173" s="2">
        <f t="shared" si="12"/>
        <v>0.00180995524523939</v>
      </c>
      <c r="E173" s="23">
        <v>0.03269</v>
      </c>
      <c r="F173" s="2">
        <f t="shared" si="9"/>
        <v>0.000125730769230769</v>
      </c>
      <c r="G173" s="23">
        <f t="shared" si="11"/>
        <v>0.00168422447600862</v>
      </c>
    </row>
    <row r="174" spans="1:10">
      <c r="A174" s="26">
        <v>45906</v>
      </c>
      <c r="B174" s="27">
        <v>55300</v>
      </c>
      <c r="C174" s="2">
        <f t="shared" si="10"/>
        <v>0</v>
      </c>
      <c r="D174" s="2">
        <f t="shared" si="12"/>
        <v>0</v>
      </c>
      <c r="E174" s="23">
        <v>0.03263</v>
      </c>
      <c r="F174" s="2">
        <f t="shared" si="9"/>
        <v>0.0001255</v>
      </c>
      <c r="G174" s="23">
        <f t="shared" si="11"/>
        <v>-0.0001255</v>
      </c>
    </row>
    <row r="175" spans="1:10">
      <c r="A175" s="26">
        <v>45814</v>
      </c>
      <c r="B175" s="27">
        <v>55300</v>
      </c>
      <c r="C175" s="2">
        <f t="shared" si="10"/>
        <v>0</v>
      </c>
      <c r="D175" s="2">
        <f t="shared" si="12"/>
        <v>0</v>
      </c>
      <c r="E175" s="23">
        <v>0.03252</v>
      </c>
      <c r="F175" s="2">
        <f t="shared" si="9"/>
        <v>0.000125076923076923</v>
      </c>
      <c r="G175" s="23">
        <f t="shared" si="11"/>
        <v>-0.000125076923076923</v>
      </c>
    </row>
    <row r="176" spans="1:10">
      <c r="A176" s="26">
        <v>45783</v>
      </c>
      <c r="B176" s="27">
        <v>56300</v>
      </c>
      <c r="C176" s="2">
        <f t="shared" si="10"/>
        <v>0.0180831826401447</v>
      </c>
      <c r="D176" s="2">
        <f t="shared" si="12"/>
        <v>0.0179216266173556</v>
      </c>
      <c r="E176" s="23">
        <v>0.03259</v>
      </c>
      <c r="F176" s="2">
        <f t="shared" si="9"/>
        <v>0.000125346153846154</v>
      </c>
      <c r="G176" s="23">
        <f t="shared" si="11"/>
        <v>0.0177962804635094</v>
      </c>
      <c r="J176" s="21"/>
    </row>
    <row r="177" spans="1:10">
      <c r="A177" s="26">
        <v>45753</v>
      </c>
      <c r="B177" s="27">
        <v>56900</v>
      </c>
      <c r="C177" s="2">
        <f t="shared" si="10"/>
        <v>0.0106571936056838</v>
      </c>
      <c r="D177" s="2">
        <f t="shared" si="12"/>
        <v>0.0106008059866405</v>
      </c>
      <c r="E177" s="23">
        <v>0.03245</v>
      </c>
      <c r="F177" s="2">
        <f t="shared" si="9"/>
        <v>0.000124807692307692</v>
      </c>
      <c r="G177" s="23">
        <f t="shared" si="11"/>
        <v>0.0104759982943329</v>
      </c>
      <c r="J177" s="21"/>
    </row>
    <row r="178" spans="1:10">
      <c r="A178" s="26">
        <v>45722</v>
      </c>
      <c r="B178" s="27">
        <v>55500</v>
      </c>
      <c r="C178" s="2">
        <f t="shared" si="10"/>
        <v>-0.0246045694200351</v>
      </c>
      <c r="D178" s="2">
        <f t="shared" si="12"/>
        <v>-0.0249123203798965</v>
      </c>
      <c r="E178" s="23">
        <v>0.03235</v>
      </c>
      <c r="F178" s="2">
        <f t="shared" si="9"/>
        <v>0.000124423076923077</v>
      </c>
      <c r="G178" s="23">
        <f t="shared" si="11"/>
        <v>-0.0250367434568195</v>
      </c>
      <c r="J178" s="21"/>
    </row>
    <row r="179" spans="1:10">
      <c r="A179" s="26">
        <v>45694</v>
      </c>
      <c r="B179" s="27">
        <v>54600</v>
      </c>
      <c r="C179" s="2">
        <f t="shared" si="10"/>
        <v>-0.0162162162162162</v>
      </c>
      <c r="D179" s="2">
        <f t="shared" si="12"/>
        <v>-0.0163491380015294</v>
      </c>
      <c r="E179" s="23">
        <v>0.03234</v>
      </c>
      <c r="F179" s="2">
        <f t="shared" si="9"/>
        <v>0.000124384615384615</v>
      </c>
      <c r="G179" s="23">
        <f t="shared" si="11"/>
        <v>-0.016473522616914</v>
      </c>
      <c r="J179" s="21"/>
    </row>
    <row r="180" spans="1:10">
      <c r="A180" s="28" t="s">
        <v>121</v>
      </c>
      <c r="B180" s="27">
        <v>54900</v>
      </c>
      <c r="C180" s="2">
        <f t="shared" si="10"/>
        <v>0.00549450549450549</v>
      </c>
      <c r="D180" s="2">
        <f t="shared" si="12"/>
        <v>0.00547946576462557</v>
      </c>
      <c r="E180" s="23">
        <v>0.0322</v>
      </c>
      <c r="F180" s="2">
        <f t="shared" si="9"/>
        <v>0.000123846153846154</v>
      </c>
      <c r="G180" s="23">
        <f t="shared" si="11"/>
        <v>0.00535561961077942</v>
      </c>
      <c r="J180" s="21"/>
    </row>
    <row r="181" spans="1:10">
      <c r="A181" s="28" t="s">
        <v>122</v>
      </c>
      <c r="B181" s="27">
        <v>55100</v>
      </c>
      <c r="C181" s="2">
        <f t="shared" si="10"/>
        <v>0.00364298724954463</v>
      </c>
      <c r="D181" s="2">
        <f t="shared" si="12"/>
        <v>0.00363636764338393</v>
      </c>
      <c r="E181" s="23">
        <v>0.03208</v>
      </c>
      <c r="F181" s="2">
        <f t="shared" si="9"/>
        <v>0.000123384615384615</v>
      </c>
      <c r="G181" s="23">
        <f t="shared" si="11"/>
        <v>0.00351298302799932</v>
      </c>
      <c r="J181" s="21"/>
    </row>
    <row r="182" spans="1:10">
      <c r="A182" s="28" t="s">
        <v>123</v>
      </c>
      <c r="B182" s="27">
        <v>55200</v>
      </c>
      <c r="C182" s="2">
        <f t="shared" si="10"/>
        <v>0.00181488203266788</v>
      </c>
      <c r="D182" s="2">
        <f t="shared" si="12"/>
        <v>0.00181323712418072</v>
      </c>
      <c r="E182" s="23">
        <v>0.03197</v>
      </c>
      <c r="F182" s="2">
        <f t="shared" si="9"/>
        <v>0.000122961538461538</v>
      </c>
      <c r="G182" s="23">
        <f t="shared" si="11"/>
        <v>0.00169027558571918</v>
      </c>
      <c r="J182" s="21"/>
    </row>
    <row r="183" spans="1:10">
      <c r="A183" s="28" t="s">
        <v>124</v>
      </c>
      <c r="B183" s="27">
        <v>55400</v>
      </c>
      <c r="C183" s="2">
        <f t="shared" si="10"/>
        <v>0.0036231884057971</v>
      </c>
      <c r="D183" s="2">
        <f t="shared" si="12"/>
        <v>0.00361664047018851</v>
      </c>
      <c r="E183" s="23">
        <v>0.03203</v>
      </c>
      <c r="F183" s="2">
        <f t="shared" si="9"/>
        <v>0.000123192307692308</v>
      </c>
      <c r="G183" s="23">
        <f t="shared" si="11"/>
        <v>0.00349344816249621</v>
      </c>
      <c r="J183" s="21"/>
    </row>
    <row r="184" spans="1:10">
      <c r="A184" s="28" t="s">
        <v>125</v>
      </c>
      <c r="B184" s="27">
        <v>55700</v>
      </c>
      <c r="C184" s="2">
        <f t="shared" si="10"/>
        <v>0.00541516245487365</v>
      </c>
      <c r="D184" s="2">
        <f t="shared" si="12"/>
        <v>0.00540055318000029</v>
      </c>
      <c r="E184" s="23">
        <v>0.03197</v>
      </c>
      <c r="F184" s="2">
        <f t="shared" si="9"/>
        <v>0.000122961538461538</v>
      </c>
      <c r="G184" s="23">
        <f t="shared" si="11"/>
        <v>0.00527759164153875</v>
      </c>
      <c r="J184" s="21"/>
    </row>
    <row r="185" spans="1:10">
      <c r="A185" s="28" t="s">
        <v>126</v>
      </c>
      <c r="B185" s="27">
        <v>55300</v>
      </c>
      <c r="C185" s="2">
        <f t="shared" si="10"/>
        <v>-0.00718132854578097</v>
      </c>
      <c r="D185" s="2">
        <f t="shared" si="12"/>
        <v>-0.00720723840494927</v>
      </c>
      <c r="E185" s="23">
        <v>0.03174</v>
      </c>
      <c r="F185" s="2">
        <f t="shared" si="9"/>
        <v>0.000122076923076923</v>
      </c>
      <c r="G185" s="23">
        <f t="shared" si="11"/>
        <v>-0.00732931532802619</v>
      </c>
    </row>
    <row r="186" spans="1:10">
      <c r="A186" s="28" t="s">
        <v>127</v>
      </c>
      <c r="B186" s="27">
        <v>55000</v>
      </c>
      <c r="C186" s="2">
        <f t="shared" si="10"/>
        <v>-0.0054249547920434</v>
      </c>
      <c r="D186" s="2">
        <f t="shared" si="12"/>
        <v>-0.00543972329581821</v>
      </c>
      <c r="E186" s="23">
        <v>0.03186</v>
      </c>
      <c r="F186" s="2">
        <f t="shared" si="9"/>
        <v>0.000122538461538462</v>
      </c>
      <c r="G186" s="23">
        <f t="shared" si="11"/>
        <v>-0.00556226175735667</v>
      </c>
    </row>
    <row r="187" spans="1:10">
      <c r="A187" s="28" t="s">
        <v>128</v>
      </c>
      <c r="B187" s="27">
        <v>55400</v>
      </c>
      <c r="C187" s="2">
        <f t="shared" si="10"/>
        <v>0.00727272727272727</v>
      </c>
      <c r="D187" s="2">
        <f t="shared" si="12"/>
        <v>0.00724640852076725</v>
      </c>
      <c r="E187" s="23">
        <v>0.0318</v>
      </c>
      <c r="F187" s="2">
        <f t="shared" si="9"/>
        <v>0.000122307692307692</v>
      </c>
      <c r="G187" s="23">
        <f t="shared" si="11"/>
        <v>0.00712410082845956</v>
      </c>
    </row>
    <row r="188" spans="1:10">
      <c r="A188" s="28" t="s">
        <v>129</v>
      </c>
      <c r="B188" s="27">
        <v>55900</v>
      </c>
      <c r="C188" s="2">
        <f t="shared" si="10"/>
        <v>0.00902527075812274</v>
      </c>
      <c r="D188" s="2">
        <f t="shared" si="12"/>
        <v>0.00898478640781526</v>
      </c>
      <c r="E188" s="23">
        <v>0.03176</v>
      </c>
      <c r="F188" s="2">
        <f t="shared" si="9"/>
        <v>0.000122153846153846</v>
      </c>
      <c r="G188" s="23">
        <f t="shared" si="11"/>
        <v>0.00886263256166141</v>
      </c>
    </row>
    <row r="189" spans="1:10">
      <c r="A189" s="28" t="s">
        <v>130</v>
      </c>
      <c r="B189" s="27">
        <v>56000</v>
      </c>
      <c r="C189" s="2">
        <f t="shared" si="10"/>
        <v>0.00178890876565295</v>
      </c>
      <c r="D189" s="2">
        <f t="shared" si="12"/>
        <v>0.00178731057409566</v>
      </c>
      <c r="E189" s="23">
        <v>0.03186</v>
      </c>
      <c r="F189" s="2">
        <f t="shared" si="9"/>
        <v>0.000122538461538462</v>
      </c>
      <c r="G189" s="23">
        <f t="shared" si="11"/>
        <v>0.0016647721125572</v>
      </c>
    </row>
    <row r="190" spans="1:10">
      <c r="A190" s="28" t="s">
        <v>131</v>
      </c>
      <c r="B190" s="27">
        <v>56200</v>
      </c>
      <c r="C190" s="2">
        <f t="shared" si="10"/>
        <v>0.00357142857142857</v>
      </c>
      <c r="D190" s="2">
        <f t="shared" si="12"/>
        <v>0.00356506616449614</v>
      </c>
      <c r="E190" s="23">
        <v>0.03172</v>
      </c>
      <c r="F190" s="2">
        <f t="shared" si="9"/>
        <v>0.000122</v>
      </c>
      <c r="G190" s="23">
        <f t="shared" si="11"/>
        <v>0.00344306616449614</v>
      </c>
    </row>
    <row r="191" spans="1:10">
      <c r="A191" s="28" t="s">
        <v>132</v>
      </c>
      <c r="B191" s="27">
        <v>56800</v>
      </c>
      <c r="C191" s="2">
        <f t="shared" si="10"/>
        <v>0.0106761565836299</v>
      </c>
      <c r="D191" s="2">
        <f t="shared" si="12"/>
        <v>0.0106195688274604</v>
      </c>
      <c r="E191" s="23">
        <v>0.03167</v>
      </c>
      <c r="F191" s="2">
        <f t="shared" si="9"/>
        <v>0.000121807692307692</v>
      </c>
      <c r="G191" s="23">
        <f t="shared" si="11"/>
        <v>0.0104977611351527</v>
      </c>
    </row>
    <row r="192" spans="1:10">
      <c r="A192" s="28" t="s">
        <v>133</v>
      </c>
      <c r="B192" s="27">
        <v>56200</v>
      </c>
      <c r="C192" s="2">
        <f t="shared" si="10"/>
        <v>-0.0105633802816901</v>
      </c>
      <c r="D192" s="2">
        <f t="shared" si="12"/>
        <v>-0.0106195688274603</v>
      </c>
      <c r="E192" s="23">
        <v>0.03183</v>
      </c>
      <c r="F192" s="2">
        <f t="shared" si="9"/>
        <v>0.000122423076923077</v>
      </c>
      <c r="G192" s="23">
        <f t="shared" si="11"/>
        <v>-0.0107419919043833</v>
      </c>
    </row>
    <row r="193" spans="1:10">
      <c r="A193" s="28" t="s">
        <v>134</v>
      </c>
      <c r="B193" s="27">
        <v>56500</v>
      </c>
      <c r="C193" s="2">
        <f t="shared" si="10"/>
        <v>0.00533807829181495</v>
      </c>
      <c r="D193" s="2">
        <f t="shared" si="12"/>
        <v>0.0053238812527498</v>
      </c>
      <c r="E193" s="23">
        <v>0.03173</v>
      </c>
      <c r="F193" s="2">
        <f t="shared" si="9"/>
        <v>0.000122038461538462</v>
      </c>
      <c r="G193" s="23">
        <f t="shared" si="11"/>
        <v>0.00520184279121134</v>
      </c>
    </row>
    <row r="194" spans="1:10">
      <c r="A194" s="26">
        <v>45996</v>
      </c>
      <c r="B194" s="27">
        <v>56596.6</v>
      </c>
      <c r="C194" s="2">
        <f t="shared" si="10"/>
        <v>0.00170973451327431</v>
      </c>
      <c r="D194" s="2">
        <f t="shared" si="12"/>
        <v>0.00170827458104891</v>
      </c>
      <c r="E194" s="23">
        <v>0.03183</v>
      </c>
      <c r="F194" s="2">
        <f t="shared" si="9"/>
        <v>0.000122423076923077</v>
      </c>
      <c r="G194" s="23">
        <f t="shared" si="11"/>
        <v>0.00158585150412583</v>
      </c>
    </row>
    <row r="195" spans="1:10">
      <c r="A195" s="26">
        <v>45905</v>
      </c>
      <c r="B195" s="27">
        <v>55727.4</v>
      </c>
      <c r="C195" s="2">
        <f t="shared" si="10"/>
        <v>-0.0153578130135025</v>
      </c>
      <c r="D195" s="2">
        <f t="shared" si="12"/>
        <v>-0.0154769657482927</v>
      </c>
      <c r="E195" s="23">
        <v>0.03209</v>
      </c>
      <c r="F195" s="2">
        <f t="shared" ref="F195:F258" si="13">E195/260</f>
        <v>0.000123423076923077</v>
      </c>
      <c r="G195" s="23">
        <f t="shared" si="11"/>
        <v>-0.0156003888252158</v>
      </c>
    </row>
    <row r="196" spans="1:10">
      <c r="A196" s="26">
        <v>45874</v>
      </c>
      <c r="B196" s="27">
        <v>55437.6</v>
      </c>
      <c r="C196" s="2">
        <f t="shared" ref="C196:C259" si="14">(B196-B195)/B195</f>
        <v>-0.00520031438753652</v>
      </c>
      <c r="D196" s="2">
        <f t="shared" si="12"/>
        <v>-0.0052138830838346</v>
      </c>
      <c r="E196" s="23">
        <v>0.0321</v>
      </c>
      <c r="F196" s="2">
        <f t="shared" si="13"/>
        <v>0.000123461538461538</v>
      </c>
      <c r="G196" s="23">
        <f t="shared" ref="G196:G259" si="15">D196-F196</f>
        <v>-0.00533734462229613</v>
      </c>
    </row>
    <row r="197" spans="1:10">
      <c r="A197" s="26">
        <v>45843</v>
      </c>
      <c r="B197" s="27">
        <v>55244.4</v>
      </c>
      <c r="C197" s="2">
        <f t="shared" si="14"/>
        <v>-0.00348499935062119</v>
      </c>
      <c r="D197" s="2">
        <f t="shared" si="12"/>
        <v>-0.00349108610653296</v>
      </c>
      <c r="E197" s="23">
        <v>0.03193</v>
      </c>
      <c r="F197" s="2">
        <f t="shared" si="13"/>
        <v>0.000122807692307692</v>
      </c>
      <c r="G197" s="23">
        <f t="shared" si="15"/>
        <v>-0.00361389379884066</v>
      </c>
    </row>
    <row r="198" spans="1:10">
      <c r="A198" s="26">
        <v>45813</v>
      </c>
      <c r="B198" s="27">
        <v>56900</v>
      </c>
      <c r="C198" s="2">
        <f t="shared" si="14"/>
        <v>0.0299686484059923</v>
      </c>
      <c r="D198" s="2">
        <f t="shared" si="12"/>
        <v>0.0295283633375014</v>
      </c>
      <c r="E198" s="23">
        <v>0.03204</v>
      </c>
      <c r="F198" s="2">
        <f t="shared" si="13"/>
        <v>0.000123230769230769</v>
      </c>
      <c r="G198" s="23">
        <f t="shared" si="15"/>
        <v>0.0294051325682706</v>
      </c>
    </row>
    <row r="199" spans="1:10">
      <c r="A199" s="26">
        <v>45782</v>
      </c>
      <c r="B199" s="27">
        <v>56900</v>
      </c>
      <c r="C199" s="2">
        <f t="shared" si="14"/>
        <v>0</v>
      </c>
      <c r="D199" s="2">
        <f t="shared" si="12"/>
        <v>0</v>
      </c>
      <c r="E199" s="23">
        <v>0.03211</v>
      </c>
      <c r="F199" s="2">
        <f t="shared" si="13"/>
        <v>0.0001235</v>
      </c>
      <c r="G199" s="23">
        <f t="shared" si="15"/>
        <v>-0.0001235</v>
      </c>
      <c r="J199" s="21"/>
    </row>
    <row r="200" spans="1:10">
      <c r="A200" s="28" t="s">
        <v>135</v>
      </c>
      <c r="B200" s="27">
        <v>57600</v>
      </c>
      <c r="C200" s="2">
        <f t="shared" si="14"/>
        <v>0.0123022847100176</v>
      </c>
      <c r="D200" s="2">
        <f t="shared" si="12"/>
        <v>0.0122272265695603</v>
      </c>
      <c r="E200" s="23">
        <v>0.03196</v>
      </c>
      <c r="F200" s="2">
        <f t="shared" si="13"/>
        <v>0.000122923076923077</v>
      </c>
      <c r="G200" s="23">
        <f t="shared" si="15"/>
        <v>0.0121043034926373</v>
      </c>
      <c r="J200" s="21"/>
    </row>
    <row r="201" spans="1:10">
      <c r="A201" s="28" t="s">
        <v>136</v>
      </c>
      <c r="B201" s="27">
        <v>57500</v>
      </c>
      <c r="C201" s="2">
        <f t="shared" si="14"/>
        <v>-0.00173611111111111</v>
      </c>
      <c r="D201" s="2">
        <f t="shared" si="12"/>
        <v>-0.00173761989854085</v>
      </c>
      <c r="E201" s="23">
        <v>0.03196</v>
      </c>
      <c r="F201" s="2">
        <f t="shared" si="13"/>
        <v>0.000122923076923077</v>
      </c>
      <c r="G201" s="23">
        <f t="shared" si="15"/>
        <v>-0.00186054297546393</v>
      </c>
      <c r="J201" s="21"/>
    </row>
    <row r="202" spans="1:10">
      <c r="A202" s="28" t="s">
        <v>137</v>
      </c>
      <c r="B202" s="27">
        <v>58300</v>
      </c>
      <c r="C202" s="2">
        <f t="shared" si="14"/>
        <v>0.0139130434782609</v>
      </c>
      <c r="D202" s="2">
        <f t="shared" si="12"/>
        <v>0.0138171455531419</v>
      </c>
      <c r="E202" s="23">
        <v>0.03177</v>
      </c>
      <c r="F202" s="2">
        <f t="shared" si="13"/>
        <v>0.000122192307692308</v>
      </c>
      <c r="G202" s="23">
        <f t="shared" si="15"/>
        <v>0.0136949532454496</v>
      </c>
      <c r="J202" s="21"/>
    </row>
    <row r="203" spans="1:10">
      <c r="A203" s="28" t="s">
        <v>138</v>
      </c>
      <c r="B203" s="27">
        <v>56300</v>
      </c>
      <c r="C203" s="2">
        <f t="shared" si="14"/>
        <v>-0.0343053173241852</v>
      </c>
      <c r="D203" s="2">
        <f t="shared" si="12"/>
        <v>-0.034907558210802</v>
      </c>
      <c r="E203" s="23">
        <v>0.03184</v>
      </c>
      <c r="F203" s="2">
        <f t="shared" si="13"/>
        <v>0.000122461538461538</v>
      </c>
      <c r="G203" s="23">
        <f t="shared" si="15"/>
        <v>-0.0350300197492636</v>
      </c>
      <c r="J203" s="21"/>
    </row>
    <row r="204" spans="1:10">
      <c r="A204" s="28" t="s">
        <v>139</v>
      </c>
      <c r="B204" s="27">
        <v>56400</v>
      </c>
      <c r="C204" s="2">
        <f t="shared" si="14"/>
        <v>0.00177619893428064</v>
      </c>
      <c r="D204" s="2">
        <f t="shared" si="12"/>
        <v>0.00177462335836848</v>
      </c>
      <c r="E204" s="23">
        <v>0.03149</v>
      </c>
      <c r="F204" s="2">
        <f t="shared" si="13"/>
        <v>0.000121115384615385</v>
      </c>
      <c r="G204" s="23">
        <f t="shared" si="15"/>
        <v>0.00165350797375309</v>
      </c>
      <c r="J204" s="21"/>
    </row>
    <row r="205" spans="1:10">
      <c r="A205" s="28" t="s">
        <v>140</v>
      </c>
      <c r="B205" s="27">
        <v>56000</v>
      </c>
      <c r="C205" s="2">
        <f t="shared" si="14"/>
        <v>-0.00709219858156028</v>
      </c>
      <c r="D205" s="2">
        <f t="shared" si="12"/>
        <v>-0.00711746776886399</v>
      </c>
      <c r="E205" s="23">
        <v>0.03146</v>
      </c>
      <c r="F205" s="2">
        <f t="shared" si="13"/>
        <v>0.000121</v>
      </c>
      <c r="G205" s="23">
        <f t="shared" si="15"/>
        <v>-0.00723846776886399</v>
      </c>
    </row>
    <row r="206" spans="1:10">
      <c r="A206" s="28" t="s">
        <v>141</v>
      </c>
      <c r="B206" s="27">
        <v>56700</v>
      </c>
      <c r="C206" s="2">
        <f t="shared" si="14"/>
        <v>0.0125</v>
      </c>
      <c r="D206" s="2">
        <f t="shared" si="12"/>
        <v>0.0124225199985571</v>
      </c>
      <c r="E206" s="23">
        <v>0.03156</v>
      </c>
      <c r="F206" s="2">
        <f t="shared" si="13"/>
        <v>0.000121384615384615</v>
      </c>
      <c r="G206" s="23">
        <f t="shared" si="15"/>
        <v>0.0123011353831725</v>
      </c>
    </row>
    <row r="207" spans="1:10">
      <c r="A207" s="28" t="s">
        <v>142</v>
      </c>
      <c r="B207" s="27">
        <v>56600</v>
      </c>
      <c r="C207" s="2">
        <f t="shared" si="14"/>
        <v>-0.0017636684303351</v>
      </c>
      <c r="D207" s="2">
        <f t="shared" si="12"/>
        <v>-0.00176522552456919</v>
      </c>
      <c r="E207" s="23">
        <v>0.03143</v>
      </c>
      <c r="F207" s="2">
        <f t="shared" si="13"/>
        <v>0.000120884615384615</v>
      </c>
      <c r="G207" s="23">
        <f t="shared" si="15"/>
        <v>-0.00188611013995381</v>
      </c>
    </row>
    <row r="208" spans="1:10">
      <c r="A208" s="28" t="s">
        <v>143</v>
      </c>
      <c r="B208" s="27">
        <v>56000</v>
      </c>
      <c r="C208" s="2">
        <f t="shared" si="14"/>
        <v>-0.0106007067137809</v>
      </c>
      <c r="D208" s="2">
        <f t="shared" si="12"/>
        <v>-0.010657294473988</v>
      </c>
      <c r="E208" s="23">
        <v>0.0314</v>
      </c>
      <c r="F208" s="2">
        <f t="shared" si="13"/>
        <v>0.000120769230769231</v>
      </c>
      <c r="G208" s="23">
        <f t="shared" si="15"/>
        <v>-0.0107780637047572</v>
      </c>
    </row>
    <row r="209" spans="1:10">
      <c r="A209" s="28" t="s">
        <v>144</v>
      </c>
      <c r="B209" s="27">
        <v>56000</v>
      </c>
      <c r="C209" s="2">
        <f t="shared" si="14"/>
        <v>0</v>
      </c>
      <c r="D209" s="2">
        <f t="shared" si="12"/>
        <v>0</v>
      </c>
      <c r="E209" s="23">
        <v>0.03126</v>
      </c>
      <c r="F209" s="2">
        <f t="shared" si="13"/>
        <v>0.000120230769230769</v>
      </c>
      <c r="G209" s="23">
        <f t="shared" si="15"/>
        <v>-0.000120230769230769</v>
      </c>
    </row>
    <row r="210" spans="1:10">
      <c r="A210" s="28" t="s">
        <v>145</v>
      </c>
      <c r="B210" s="27">
        <v>56300</v>
      </c>
      <c r="C210" s="2">
        <f t="shared" si="14"/>
        <v>0.00535714285714286</v>
      </c>
      <c r="D210" s="2">
        <f t="shared" si="12"/>
        <v>0.00534284441049545</v>
      </c>
      <c r="E210" s="23">
        <v>0.03145</v>
      </c>
      <c r="F210" s="2">
        <f t="shared" si="13"/>
        <v>0.000120961538461538</v>
      </c>
      <c r="G210" s="23">
        <f t="shared" si="15"/>
        <v>0.00522188287203391</v>
      </c>
    </row>
    <row r="211" spans="1:10">
      <c r="A211" s="28" t="s">
        <v>146</v>
      </c>
      <c r="B211" s="27">
        <v>56900</v>
      </c>
      <c r="C211" s="2">
        <f t="shared" si="14"/>
        <v>0.0106571936056838</v>
      </c>
      <c r="D211" s="2">
        <f t="shared" si="12"/>
        <v>0.0106008059866405</v>
      </c>
      <c r="E211" s="23">
        <v>0.03146</v>
      </c>
      <c r="F211" s="2">
        <f t="shared" si="13"/>
        <v>0.000121</v>
      </c>
      <c r="G211" s="23">
        <f t="shared" si="15"/>
        <v>0.0104798059866405</v>
      </c>
    </row>
    <row r="212" spans="1:10">
      <c r="A212" s="26">
        <v>45965</v>
      </c>
      <c r="B212" s="27">
        <v>57500</v>
      </c>
      <c r="C212" s="2">
        <f t="shared" si="14"/>
        <v>0.0105448154657293</v>
      </c>
      <c r="D212" s="2">
        <f t="shared" si="12"/>
        <v>0.0104896066710194</v>
      </c>
      <c r="E212" s="23">
        <v>0.03145</v>
      </c>
      <c r="F212" s="2">
        <f t="shared" si="13"/>
        <v>0.000120961538461538</v>
      </c>
      <c r="G212" s="23">
        <f t="shared" si="15"/>
        <v>0.0103686451325579</v>
      </c>
    </row>
    <row r="213" spans="1:10">
      <c r="A213" s="26">
        <v>45934</v>
      </c>
      <c r="B213" s="27">
        <v>55600</v>
      </c>
      <c r="C213" s="2">
        <f t="shared" si="14"/>
        <v>-0.0330434782608696</v>
      </c>
      <c r="D213" s="2">
        <f t="shared" si="12"/>
        <v>-0.0336017465467681</v>
      </c>
      <c r="E213" s="23">
        <v>0.03134</v>
      </c>
      <c r="F213" s="2">
        <f t="shared" si="13"/>
        <v>0.000120538461538462</v>
      </c>
      <c r="G213" s="23">
        <f t="shared" si="15"/>
        <v>-0.0337222850083066</v>
      </c>
    </row>
    <row r="214" spans="1:10">
      <c r="A214" s="26">
        <v>45904</v>
      </c>
      <c r="B214" s="27">
        <v>52000</v>
      </c>
      <c r="C214" s="2">
        <f t="shared" si="14"/>
        <v>-0.0647482014388489</v>
      </c>
      <c r="D214" s="2">
        <f t="shared" si="12"/>
        <v>-0.0669394826751094</v>
      </c>
      <c r="E214" s="23">
        <v>0.03149</v>
      </c>
      <c r="F214" s="2">
        <f t="shared" si="13"/>
        <v>0.000121115384615385</v>
      </c>
      <c r="G214" s="23">
        <f t="shared" si="15"/>
        <v>-0.0670605980597248</v>
      </c>
    </row>
    <row r="215" spans="1:10">
      <c r="A215" s="26">
        <v>45873</v>
      </c>
      <c r="B215" s="27">
        <v>54500</v>
      </c>
      <c r="C215" s="2">
        <f t="shared" si="14"/>
        <v>0.0480769230769231</v>
      </c>
      <c r="D215" s="2">
        <f t="shared" si="12"/>
        <v>0.0469569830877711</v>
      </c>
      <c r="E215" s="23">
        <v>0.03152</v>
      </c>
      <c r="F215" s="2">
        <f t="shared" si="13"/>
        <v>0.000121230769230769</v>
      </c>
      <c r="G215" s="23">
        <f t="shared" si="15"/>
        <v>0.0468357523185403</v>
      </c>
    </row>
    <row r="216" spans="1:10">
      <c r="A216" s="26">
        <v>45751</v>
      </c>
      <c r="B216" s="27">
        <v>58500</v>
      </c>
      <c r="C216" s="2">
        <f t="shared" si="14"/>
        <v>0.073394495412844</v>
      </c>
      <c r="D216" s="2">
        <f t="shared" si="12"/>
        <v>0.0708260525686124</v>
      </c>
      <c r="E216" s="23">
        <v>0.0312</v>
      </c>
      <c r="F216" s="2">
        <f t="shared" si="13"/>
        <v>0.00012</v>
      </c>
      <c r="G216" s="23">
        <f t="shared" si="15"/>
        <v>0.0707060525686124</v>
      </c>
    </row>
    <row r="217" spans="1:10">
      <c r="A217" s="26">
        <v>45720</v>
      </c>
      <c r="B217" s="27">
        <v>56500</v>
      </c>
      <c r="C217" s="2">
        <f t="shared" si="14"/>
        <v>-0.0341880341880342</v>
      </c>
      <c r="D217" s="2">
        <f t="shared" si="12"/>
        <v>-0.0347861160854155</v>
      </c>
      <c r="E217" s="23">
        <v>0.03153</v>
      </c>
      <c r="F217" s="2">
        <f t="shared" si="13"/>
        <v>0.000121269230769231</v>
      </c>
      <c r="G217" s="23">
        <f t="shared" si="15"/>
        <v>-0.0349073853161848</v>
      </c>
      <c r="J217" s="21"/>
    </row>
    <row r="218" spans="1:10">
      <c r="A218" s="26">
        <v>45692</v>
      </c>
      <c r="B218" s="27">
        <v>60500</v>
      </c>
      <c r="C218" s="2">
        <f t="shared" si="14"/>
        <v>0.0707964601769911</v>
      </c>
      <c r="D218" s="2">
        <f t="shared" si="12"/>
        <v>0.0684027268844006</v>
      </c>
      <c r="E218" s="23">
        <v>0.03068</v>
      </c>
      <c r="F218" s="2">
        <f t="shared" si="13"/>
        <v>0.000118</v>
      </c>
      <c r="G218" s="23">
        <f t="shared" si="15"/>
        <v>0.0682847268844006</v>
      </c>
      <c r="J218" s="21"/>
    </row>
    <row r="219" spans="1:10">
      <c r="A219" s="26">
        <v>45661</v>
      </c>
      <c r="B219" s="27">
        <v>60800</v>
      </c>
      <c r="C219" s="2">
        <f t="shared" si="14"/>
        <v>0.00495867768595041</v>
      </c>
      <c r="D219" s="2">
        <f t="shared" si="12"/>
        <v>0.00494642393532562</v>
      </c>
      <c r="E219" s="23">
        <v>0.03065</v>
      </c>
      <c r="F219" s="2">
        <f t="shared" si="13"/>
        <v>0.000117884615384615</v>
      </c>
      <c r="G219" s="23">
        <f t="shared" si="15"/>
        <v>0.004828539319941</v>
      </c>
      <c r="J219" s="21"/>
    </row>
    <row r="220" spans="1:10">
      <c r="A220" s="28" t="s">
        <v>147</v>
      </c>
      <c r="B220" s="27">
        <v>60600</v>
      </c>
      <c r="C220" s="2">
        <f t="shared" si="14"/>
        <v>-0.00328947368421053</v>
      </c>
      <c r="D220" s="2">
        <f t="shared" si="12"/>
        <v>-0.00329489589685254</v>
      </c>
      <c r="E220" s="23">
        <v>0.03059</v>
      </c>
      <c r="F220" s="2">
        <f t="shared" si="13"/>
        <v>0.000117653846153846</v>
      </c>
      <c r="G220" s="23">
        <f t="shared" si="15"/>
        <v>-0.00341254974300638</v>
      </c>
      <c r="J220" s="21"/>
    </row>
    <row r="221" spans="1:10">
      <c r="A221" s="28" t="s">
        <v>148</v>
      </c>
      <c r="B221" s="27">
        <v>60300</v>
      </c>
      <c r="C221" s="2">
        <f t="shared" si="14"/>
        <v>-0.00495049504950495</v>
      </c>
      <c r="D221" s="2">
        <f t="shared" si="12"/>
        <v>-0.00496278934212901</v>
      </c>
      <c r="E221" s="23">
        <v>0.03066</v>
      </c>
      <c r="F221" s="2">
        <f t="shared" si="13"/>
        <v>0.000117923076923077</v>
      </c>
      <c r="G221" s="23">
        <f t="shared" si="15"/>
        <v>-0.00508071241905209</v>
      </c>
      <c r="J221" s="21"/>
    </row>
    <row r="222" spans="1:10">
      <c r="A222" s="28" t="s">
        <v>149</v>
      </c>
      <c r="B222" s="27">
        <v>61100</v>
      </c>
      <c r="C222" s="2">
        <f t="shared" si="14"/>
        <v>0.0132669983416252</v>
      </c>
      <c r="D222" s="2">
        <f t="shared" si="12"/>
        <v>0.0131797624444098</v>
      </c>
      <c r="E222" s="23">
        <v>0.03083</v>
      </c>
      <c r="F222" s="2">
        <f t="shared" si="13"/>
        <v>0.000118576923076923</v>
      </c>
      <c r="G222" s="23">
        <f t="shared" si="15"/>
        <v>0.0130611855213329</v>
      </c>
      <c r="J222" s="21"/>
    </row>
    <row r="223" spans="1:10">
      <c r="A223" s="28" t="s">
        <v>150</v>
      </c>
      <c r="B223" s="27">
        <v>61200</v>
      </c>
      <c r="C223" s="2">
        <f t="shared" si="14"/>
        <v>0.0016366612111293</v>
      </c>
      <c r="D223" s="2">
        <f t="shared" si="12"/>
        <v>0.00163532334073084</v>
      </c>
      <c r="E223" s="23">
        <v>0.03083</v>
      </c>
      <c r="F223" s="2">
        <f t="shared" si="13"/>
        <v>0.000118576923076923</v>
      </c>
      <c r="G223" s="23">
        <f t="shared" si="15"/>
        <v>0.00151674641765391</v>
      </c>
      <c r="J223" s="21"/>
    </row>
    <row r="224" spans="1:10">
      <c r="A224" s="28" t="s">
        <v>151</v>
      </c>
      <c r="B224" s="27">
        <v>61400</v>
      </c>
      <c r="C224" s="2">
        <f t="shared" si="14"/>
        <v>0.00326797385620915</v>
      </c>
      <c r="D224" s="2">
        <f t="shared" si="12"/>
        <v>0.00326264563481637</v>
      </c>
      <c r="E224" s="23">
        <v>0.03079</v>
      </c>
      <c r="F224" s="2">
        <f t="shared" si="13"/>
        <v>0.000118423076923077</v>
      </c>
      <c r="G224" s="23">
        <f t="shared" si="15"/>
        <v>0.00314422255789329</v>
      </c>
      <c r="J224" s="21"/>
    </row>
    <row r="225" spans="1:10">
      <c r="A225" s="28" t="s">
        <v>152</v>
      </c>
      <c r="B225" s="27">
        <v>61400</v>
      </c>
      <c r="C225" s="2">
        <f t="shared" si="14"/>
        <v>0</v>
      </c>
      <c r="D225" s="2">
        <f t="shared" ref="D225:D288" si="16">LN(B225/B224)</f>
        <v>0</v>
      </c>
      <c r="E225" s="23">
        <v>0.03069</v>
      </c>
      <c r="F225" s="2">
        <f t="shared" si="13"/>
        <v>0.000118038461538462</v>
      </c>
      <c r="G225" s="23">
        <f t="shared" si="15"/>
        <v>-0.000118038461538462</v>
      </c>
    </row>
    <row r="226" spans="1:10">
      <c r="A226" s="28" t="s">
        <v>153</v>
      </c>
      <c r="B226" s="27">
        <v>61300</v>
      </c>
      <c r="C226" s="2">
        <f t="shared" si="14"/>
        <v>-0.00162866449511401</v>
      </c>
      <c r="D226" s="2">
        <f t="shared" si="16"/>
        <v>-0.00162999221093106</v>
      </c>
      <c r="E226" s="23">
        <v>0.03053</v>
      </c>
      <c r="F226" s="2">
        <f t="shared" si="13"/>
        <v>0.000117423076923077</v>
      </c>
      <c r="G226" s="23">
        <f t="shared" si="15"/>
        <v>-0.00174741528785414</v>
      </c>
    </row>
    <row r="227" spans="1:10">
      <c r="A227" s="28" t="s">
        <v>154</v>
      </c>
      <c r="B227" s="27">
        <v>61800</v>
      </c>
      <c r="C227" s="2">
        <f t="shared" si="14"/>
        <v>0.00815660685154975</v>
      </c>
      <c r="D227" s="2">
        <f t="shared" si="16"/>
        <v>0.00812352152147935</v>
      </c>
      <c r="E227" s="23">
        <v>0.03055</v>
      </c>
      <c r="F227" s="2">
        <f t="shared" si="13"/>
        <v>0.0001175</v>
      </c>
      <c r="G227" s="23">
        <f t="shared" si="15"/>
        <v>0.00800602152147935</v>
      </c>
    </row>
    <row r="228" spans="1:10">
      <c r="A228" s="28" t="s">
        <v>155</v>
      </c>
      <c r="B228" s="27">
        <v>62300</v>
      </c>
      <c r="C228" s="2">
        <f t="shared" si="14"/>
        <v>0.00809061488673139</v>
      </c>
      <c r="D228" s="2">
        <f t="shared" si="16"/>
        <v>0.00805806132976244</v>
      </c>
      <c r="E228" s="23">
        <v>0.03066</v>
      </c>
      <c r="F228" s="2">
        <f t="shared" si="13"/>
        <v>0.000117923076923077</v>
      </c>
      <c r="G228" s="23">
        <f t="shared" si="15"/>
        <v>0.00794013825283937</v>
      </c>
    </row>
    <row r="229" spans="1:10">
      <c r="A229" s="28" t="s">
        <v>156</v>
      </c>
      <c r="B229" s="27">
        <v>62500</v>
      </c>
      <c r="C229" s="2">
        <f t="shared" si="14"/>
        <v>0.00321027287319422</v>
      </c>
      <c r="D229" s="2">
        <f t="shared" si="16"/>
        <v>0.00320513094894833</v>
      </c>
      <c r="E229" s="23">
        <v>0.0306</v>
      </c>
      <c r="F229" s="2">
        <f t="shared" si="13"/>
        <v>0.000117692307692308</v>
      </c>
      <c r="G229" s="23">
        <f t="shared" si="15"/>
        <v>0.00308743864125602</v>
      </c>
    </row>
    <row r="230" spans="1:10">
      <c r="A230" s="28" t="s">
        <v>157</v>
      </c>
      <c r="B230" s="27">
        <v>63000</v>
      </c>
      <c r="C230" s="2">
        <f t="shared" si="14"/>
        <v>0.008</v>
      </c>
      <c r="D230" s="2">
        <f t="shared" si="16"/>
        <v>0.00796816964917688</v>
      </c>
      <c r="E230" s="23">
        <v>0.03055</v>
      </c>
      <c r="F230" s="2">
        <f t="shared" si="13"/>
        <v>0.0001175</v>
      </c>
      <c r="G230" s="23">
        <f t="shared" si="15"/>
        <v>0.00785066964917688</v>
      </c>
    </row>
    <row r="231" spans="1:10">
      <c r="A231" s="28" t="s">
        <v>158</v>
      </c>
      <c r="B231" s="27">
        <v>62100</v>
      </c>
      <c r="C231" s="2">
        <f t="shared" si="14"/>
        <v>-0.0142857142857143</v>
      </c>
      <c r="D231" s="2">
        <f t="shared" si="16"/>
        <v>-0.0143887374520996</v>
      </c>
      <c r="E231" s="23">
        <v>0.03071</v>
      </c>
      <c r="F231" s="2">
        <f t="shared" si="13"/>
        <v>0.000118115384615385</v>
      </c>
      <c r="G231" s="23">
        <f t="shared" si="15"/>
        <v>-0.0145068528367149</v>
      </c>
    </row>
    <row r="232" spans="1:10">
      <c r="A232" s="28" t="s">
        <v>159</v>
      </c>
      <c r="B232" s="27">
        <v>62000</v>
      </c>
      <c r="C232" s="2">
        <f t="shared" si="14"/>
        <v>-0.00161030595813205</v>
      </c>
      <c r="D232" s="2">
        <f t="shared" si="16"/>
        <v>-0.00161160389434153</v>
      </c>
      <c r="E232" s="23">
        <v>0.03047</v>
      </c>
      <c r="F232" s="2">
        <f t="shared" si="13"/>
        <v>0.000117192307692308</v>
      </c>
      <c r="G232" s="23">
        <f t="shared" si="15"/>
        <v>-0.00172879620203384</v>
      </c>
    </row>
    <row r="233" spans="1:10">
      <c r="A233" s="26">
        <v>45994</v>
      </c>
      <c r="B233" s="27">
        <v>62200</v>
      </c>
      <c r="C233" s="2">
        <f t="shared" si="14"/>
        <v>0.0032258064516129</v>
      </c>
      <c r="D233" s="2">
        <f t="shared" si="16"/>
        <v>0.00322061470004216</v>
      </c>
      <c r="E233" s="23">
        <v>0.03068</v>
      </c>
      <c r="F233" s="2">
        <f t="shared" si="13"/>
        <v>0.000118</v>
      </c>
      <c r="G233" s="23">
        <f t="shared" si="15"/>
        <v>0.00310261470004216</v>
      </c>
    </row>
    <row r="234" spans="1:10">
      <c r="A234" s="26">
        <v>45964</v>
      </c>
      <c r="B234" s="27">
        <v>62400</v>
      </c>
      <c r="C234" s="2">
        <f t="shared" si="14"/>
        <v>0.00321543408360129</v>
      </c>
      <c r="D234" s="2">
        <f t="shared" si="16"/>
        <v>0.00321027563024819</v>
      </c>
      <c r="E234" s="23">
        <v>0.0307</v>
      </c>
      <c r="F234" s="2">
        <f t="shared" si="13"/>
        <v>0.000118076923076923</v>
      </c>
      <c r="G234" s="23">
        <f t="shared" si="15"/>
        <v>0.00309219870717127</v>
      </c>
    </row>
    <row r="235" spans="1:10">
      <c r="A235" s="26">
        <v>45933</v>
      </c>
      <c r="B235" s="27">
        <v>62500</v>
      </c>
      <c r="C235" s="2">
        <f t="shared" si="14"/>
        <v>0.0016025641025641</v>
      </c>
      <c r="D235" s="2">
        <f t="shared" si="16"/>
        <v>0.00160128136697383</v>
      </c>
      <c r="E235" s="23">
        <v>0.03064</v>
      </c>
      <c r="F235" s="2">
        <f t="shared" si="13"/>
        <v>0.000117846153846154</v>
      </c>
      <c r="G235" s="23">
        <f t="shared" si="15"/>
        <v>0.00148343521312767</v>
      </c>
    </row>
    <row r="236" spans="1:10">
      <c r="A236" s="26">
        <v>45841</v>
      </c>
      <c r="B236" s="27">
        <v>62700</v>
      </c>
      <c r="C236" s="2">
        <f t="shared" si="14"/>
        <v>0.0032</v>
      </c>
      <c r="D236" s="2">
        <f t="shared" si="16"/>
        <v>0.00319489089651929</v>
      </c>
      <c r="E236" s="23">
        <v>0.03067</v>
      </c>
      <c r="F236" s="2">
        <f t="shared" si="13"/>
        <v>0.000117961538461538</v>
      </c>
      <c r="G236" s="23">
        <f t="shared" si="15"/>
        <v>0.00307692935805775</v>
      </c>
    </row>
    <row r="237" spans="1:10">
      <c r="A237" s="26">
        <v>45811</v>
      </c>
      <c r="B237" s="27">
        <v>62900</v>
      </c>
      <c r="C237" s="2">
        <f t="shared" si="14"/>
        <v>0.00318979266347687</v>
      </c>
      <c r="D237" s="2">
        <f t="shared" si="16"/>
        <v>0.00318471606751992</v>
      </c>
      <c r="E237" s="23">
        <v>0.0307</v>
      </c>
      <c r="F237" s="2">
        <f t="shared" si="13"/>
        <v>0.000118076923076923</v>
      </c>
      <c r="G237" s="23">
        <f t="shared" si="15"/>
        <v>0.003066639144443</v>
      </c>
    </row>
    <row r="238" spans="1:10">
      <c r="A238" s="26">
        <v>45780</v>
      </c>
      <c r="B238" s="27">
        <v>62700</v>
      </c>
      <c r="C238" s="2">
        <f t="shared" si="14"/>
        <v>-0.00317965023847377</v>
      </c>
      <c r="D238" s="2">
        <f t="shared" si="16"/>
        <v>-0.00318471606751984</v>
      </c>
      <c r="E238" s="23">
        <v>0.0312</v>
      </c>
      <c r="F238" s="2">
        <f t="shared" si="13"/>
        <v>0.00012</v>
      </c>
      <c r="G238" s="23">
        <f t="shared" si="15"/>
        <v>-0.00330471606751984</v>
      </c>
      <c r="J238" s="21"/>
    </row>
    <row r="239" spans="1:10">
      <c r="A239" s="26">
        <v>45750</v>
      </c>
      <c r="B239" s="27">
        <v>63500</v>
      </c>
      <c r="C239" s="2">
        <f t="shared" si="14"/>
        <v>0.0127591706539075</v>
      </c>
      <c r="D239" s="2">
        <f t="shared" si="16"/>
        <v>0.0126784582597709</v>
      </c>
      <c r="E239" s="23">
        <v>0.03179</v>
      </c>
      <c r="F239" s="2">
        <f t="shared" si="13"/>
        <v>0.000122269230769231</v>
      </c>
      <c r="G239" s="23">
        <f t="shared" si="15"/>
        <v>0.0125561890290016</v>
      </c>
      <c r="J239" s="21"/>
    </row>
    <row r="240" spans="1:10">
      <c r="A240" s="26">
        <v>45719</v>
      </c>
      <c r="B240" s="27">
        <v>63200</v>
      </c>
      <c r="C240" s="2">
        <f t="shared" si="14"/>
        <v>-0.0047244094488189</v>
      </c>
      <c r="D240" s="2">
        <f t="shared" si="16"/>
        <v>-0.00473560474583424</v>
      </c>
      <c r="E240" s="23">
        <v>0.03189</v>
      </c>
      <c r="F240" s="2">
        <f t="shared" si="13"/>
        <v>0.000122653846153846</v>
      </c>
      <c r="G240" s="23">
        <f t="shared" si="15"/>
        <v>-0.00485825859198809</v>
      </c>
      <c r="J240" s="21"/>
    </row>
    <row r="241" spans="1:10">
      <c r="A241" s="28" t="s">
        <v>160</v>
      </c>
      <c r="B241" s="27">
        <v>62200</v>
      </c>
      <c r="C241" s="2">
        <f t="shared" si="14"/>
        <v>-0.0158227848101266</v>
      </c>
      <c r="D241" s="2">
        <f t="shared" si="16"/>
        <v>-0.015949301407678</v>
      </c>
      <c r="E241" s="23">
        <v>0.03179</v>
      </c>
      <c r="F241" s="2">
        <f t="shared" si="13"/>
        <v>0.000122269230769231</v>
      </c>
      <c r="G241" s="23">
        <f t="shared" si="15"/>
        <v>-0.0160715706384472</v>
      </c>
      <c r="J241" s="21"/>
    </row>
    <row r="242" spans="1:10">
      <c r="A242" s="28" t="s">
        <v>161</v>
      </c>
      <c r="B242" s="27">
        <v>62200</v>
      </c>
      <c r="C242" s="2">
        <f t="shared" si="14"/>
        <v>0</v>
      </c>
      <c r="D242" s="2">
        <f t="shared" si="16"/>
        <v>0</v>
      </c>
      <c r="E242" s="23">
        <v>0.03167</v>
      </c>
      <c r="F242" s="2">
        <f t="shared" si="13"/>
        <v>0.000121807692307692</v>
      </c>
      <c r="G242" s="23">
        <f t="shared" si="15"/>
        <v>-0.000121807692307692</v>
      </c>
      <c r="J242" s="21"/>
    </row>
    <row r="243" spans="1:10">
      <c r="A243" s="28" t="s">
        <v>162</v>
      </c>
      <c r="B243" s="27">
        <v>63100</v>
      </c>
      <c r="C243" s="2">
        <f t="shared" si="14"/>
        <v>0.0144694533762058</v>
      </c>
      <c r="D243" s="2">
        <f t="shared" si="16"/>
        <v>0.0143657698020337</v>
      </c>
      <c r="E243" s="23">
        <v>0.03217</v>
      </c>
      <c r="F243" s="2">
        <f t="shared" si="13"/>
        <v>0.000123730769230769</v>
      </c>
      <c r="G243" s="23">
        <f t="shared" si="15"/>
        <v>0.0142420390328029</v>
      </c>
      <c r="J243" s="21"/>
    </row>
    <row r="244" spans="1:10">
      <c r="A244" s="28" t="s">
        <v>163</v>
      </c>
      <c r="B244" s="27">
        <v>62900</v>
      </c>
      <c r="C244" s="2">
        <f t="shared" si="14"/>
        <v>-0.00316957210776545</v>
      </c>
      <c r="D244" s="2">
        <f t="shared" si="16"/>
        <v>-0.00317460584077265</v>
      </c>
      <c r="E244" s="23">
        <v>0.03213</v>
      </c>
      <c r="F244" s="2">
        <f t="shared" si="13"/>
        <v>0.000123576923076923</v>
      </c>
      <c r="G244" s="23">
        <f t="shared" si="15"/>
        <v>-0.00329818276384958</v>
      </c>
      <c r="J244" s="21"/>
    </row>
    <row r="245" spans="1:10">
      <c r="A245" s="28" t="s">
        <v>164</v>
      </c>
      <c r="B245" s="27">
        <v>63800</v>
      </c>
      <c r="C245" s="2">
        <f t="shared" si="14"/>
        <v>0.014308426073132</v>
      </c>
      <c r="D245" s="2">
        <f t="shared" si="16"/>
        <v>0.0142070266443493</v>
      </c>
      <c r="E245" s="23">
        <v>0.03231</v>
      </c>
      <c r="F245" s="2">
        <f t="shared" si="13"/>
        <v>0.000124269230769231</v>
      </c>
      <c r="G245" s="23">
        <f t="shared" si="15"/>
        <v>0.01408275741358</v>
      </c>
      <c r="J245" s="21"/>
    </row>
    <row r="246" spans="1:10">
      <c r="A246" s="28" t="s">
        <v>165</v>
      </c>
      <c r="B246" s="27">
        <v>61400</v>
      </c>
      <c r="C246" s="2">
        <f t="shared" si="14"/>
        <v>-0.0376175548589342</v>
      </c>
      <c r="D246" s="2">
        <f t="shared" si="16"/>
        <v>-0.0383433551976474</v>
      </c>
      <c r="E246" s="23">
        <v>0.03212</v>
      </c>
      <c r="F246" s="2">
        <f t="shared" si="13"/>
        <v>0.000123538461538462</v>
      </c>
      <c r="G246" s="23">
        <f t="shared" si="15"/>
        <v>-0.0384668936591859</v>
      </c>
    </row>
    <row r="247" spans="1:10">
      <c r="A247" s="28" t="s">
        <v>166</v>
      </c>
      <c r="B247" s="27">
        <v>60700</v>
      </c>
      <c r="C247" s="2">
        <f t="shared" si="14"/>
        <v>-0.011400651465798</v>
      </c>
      <c r="D247" s="2">
        <f t="shared" si="16"/>
        <v>-0.0114661370876442</v>
      </c>
      <c r="E247" s="23">
        <v>0.03216</v>
      </c>
      <c r="F247" s="2">
        <f t="shared" si="13"/>
        <v>0.000123692307692308</v>
      </c>
      <c r="G247" s="23">
        <f t="shared" si="15"/>
        <v>-0.0115898293953365</v>
      </c>
    </row>
    <row r="248" spans="1:10">
      <c r="A248" s="28" t="s">
        <v>167</v>
      </c>
      <c r="B248" s="27">
        <v>60800</v>
      </c>
      <c r="C248" s="2">
        <f t="shared" si="14"/>
        <v>0.00164744645799012</v>
      </c>
      <c r="D248" s="2">
        <f t="shared" si="16"/>
        <v>0.00164609090666872</v>
      </c>
      <c r="E248" s="23">
        <v>0.03225</v>
      </c>
      <c r="F248" s="2">
        <f t="shared" si="13"/>
        <v>0.000124038461538462</v>
      </c>
      <c r="G248" s="23">
        <f t="shared" si="15"/>
        <v>0.00152205244513026</v>
      </c>
    </row>
    <row r="249" spans="1:10">
      <c r="A249" s="28" t="s">
        <v>168</v>
      </c>
      <c r="B249" s="27">
        <v>60300</v>
      </c>
      <c r="C249" s="2">
        <f t="shared" si="14"/>
        <v>-0.00822368421052632</v>
      </c>
      <c r="D249" s="2">
        <f t="shared" si="16"/>
        <v>-0.00825768523898158</v>
      </c>
      <c r="E249" s="23">
        <v>0.03224</v>
      </c>
      <c r="F249" s="2">
        <f t="shared" si="13"/>
        <v>0.000124</v>
      </c>
      <c r="G249" s="23">
        <f t="shared" si="15"/>
        <v>-0.00838168523898158</v>
      </c>
    </row>
    <row r="250" spans="1:10">
      <c r="A250" s="28" t="s">
        <v>169</v>
      </c>
      <c r="B250" s="27">
        <v>60000</v>
      </c>
      <c r="C250" s="2">
        <f t="shared" si="14"/>
        <v>-0.00497512437810945</v>
      </c>
      <c r="D250" s="2">
        <f t="shared" si="16"/>
        <v>-0.00498754151103905</v>
      </c>
      <c r="E250" s="23">
        <v>0.03224</v>
      </c>
      <c r="F250" s="2">
        <f t="shared" si="13"/>
        <v>0.000124</v>
      </c>
      <c r="G250" s="23">
        <f t="shared" si="15"/>
        <v>-0.00511154151103905</v>
      </c>
    </row>
    <row r="251" spans="1:10">
      <c r="A251" s="28" t="s">
        <v>170</v>
      </c>
      <c r="B251" s="27">
        <v>60300</v>
      </c>
      <c r="C251" s="2">
        <f t="shared" si="14"/>
        <v>0.005</v>
      </c>
      <c r="D251" s="2">
        <f t="shared" si="16"/>
        <v>0.00498754151103897</v>
      </c>
      <c r="E251" s="23">
        <v>0.03216</v>
      </c>
      <c r="F251" s="2">
        <f t="shared" si="13"/>
        <v>0.000123692307692308</v>
      </c>
      <c r="G251" s="23">
        <f t="shared" si="15"/>
        <v>0.00486384920334666</v>
      </c>
    </row>
    <row r="252" spans="1:10">
      <c r="A252" s="28" t="s">
        <v>171</v>
      </c>
      <c r="B252" s="27">
        <v>60700</v>
      </c>
      <c r="C252" s="2">
        <f t="shared" si="14"/>
        <v>0.0066334991708126</v>
      </c>
      <c r="D252" s="2">
        <f t="shared" si="16"/>
        <v>0.00661159433231279</v>
      </c>
      <c r="E252" s="23">
        <v>0.03231</v>
      </c>
      <c r="F252" s="2">
        <f t="shared" si="13"/>
        <v>0.000124269230769231</v>
      </c>
      <c r="G252" s="23">
        <f t="shared" si="15"/>
        <v>0.00648732510154356</v>
      </c>
    </row>
    <row r="253" spans="1:10">
      <c r="A253" s="26">
        <v>45993</v>
      </c>
      <c r="B253" s="27">
        <v>61000</v>
      </c>
      <c r="C253" s="2">
        <f t="shared" si="14"/>
        <v>0.00494233937397035</v>
      </c>
      <c r="D253" s="2">
        <f t="shared" si="16"/>
        <v>0.00493016610785859</v>
      </c>
      <c r="E253" s="23">
        <v>0.03212</v>
      </c>
      <c r="F253" s="2">
        <f t="shared" si="13"/>
        <v>0.000123538461538462</v>
      </c>
      <c r="G253" s="23">
        <f t="shared" si="15"/>
        <v>0.00480662764632012</v>
      </c>
    </row>
    <row r="254" spans="1:10">
      <c r="A254" s="26">
        <v>45963</v>
      </c>
      <c r="B254" s="27">
        <v>60400</v>
      </c>
      <c r="C254" s="2">
        <f t="shared" si="14"/>
        <v>-0.00983606557377049</v>
      </c>
      <c r="D254" s="2">
        <f t="shared" si="16"/>
        <v>-0.00988475923254197</v>
      </c>
      <c r="E254" s="23">
        <v>0.03186</v>
      </c>
      <c r="F254" s="2">
        <f t="shared" si="13"/>
        <v>0.000122538461538462</v>
      </c>
      <c r="G254" s="23">
        <f t="shared" si="15"/>
        <v>-0.0100072976940804</v>
      </c>
    </row>
    <row r="255" spans="1:10">
      <c r="A255" s="26">
        <v>45932</v>
      </c>
      <c r="B255" s="27">
        <v>60600</v>
      </c>
      <c r="C255" s="2">
        <f t="shared" si="14"/>
        <v>0.0033112582781457</v>
      </c>
      <c r="D255" s="2">
        <f t="shared" si="16"/>
        <v>0.00330578813449941</v>
      </c>
      <c r="E255" s="23">
        <v>0.03174</v>
      </c>
      <c r="F255" s="2">
        <f t="shared" si="13"/>
        <v>0.000122076923076923</v>
      </c>
      <c r="G255" s="23">
        <f t="shared" si="15"/>
        <v>0.00318371121142249</v>
      </c>
    </row>
    <row r="256" spans="1:10">
      <c r="A256" s="26">
        <v>45840</v>
      </c>
      <c r="B256" s="27">
        <v>60800</v>
      </c>
      <c r="C256" s="2">
        <f t="shared" si="14"/>
        <v>0.0033003300330033</v>
      </c>
      <c r="D256" s="2">
        <f t="shared" si="16"/>
        <v>0.00329489589685248</v>
      </c>
      <c r="E256" s="23">
        <v>0.03128</v>
      </c>
      <c r="F256" s="2">
        <f t="shared" si="13"/>
        <v>0.000120307692307692</v>
      </c>
      <c r="G256" s="23">
        <f t="shared" si="15"/>
        <v>0.00317458820454479</v>
      </c>
    </row>
    <row r="257" spans="1:10">
      <c r="A257" s="26">
        <v>45810</v>
      </c>
      <c r="B257" s="27">
        <v>60700</v>
      </c>
      <c r="C257" s="2">
        <f t="shared" si="14"/>
        <v>-0.00164473684210526</v>
      </c>
      <c r="D257" s="2">
        <f t="shared" si="16"/>
        <v>-0.00164609090666879</v>
      </c>
      <c r="E257" s="23">
        <v>0.03139</v>
      </c>
      <c r="F257" s="2">
        <f t="shared" si="13"/>
        <v>0.000120730769230769</v>
      </c>
      <c r="G257" s="23">
        <f t="shared" si="15"/>
        <v>-0.00176682167589956</v>
      </c>
    </row>
    <row r="258" spans="1:10">
      <c r="A258" s="26">
        <v>45779</v>
      </c>
      <c r="B258" s="27">
        <v>61500</v>
      </c>
      <c r="C258" s="2">
        <f t="shared" si="14"/>
        <v>0.0131795716639209</v>
      </c>
      <c r="D258" s="2">
        <f t="shared" si="16"/>
        <v>0.0130934767470196</v>
      </c>
      <c r="E258" s="23">
        <v>0.03104</v>
      </c>
      <c r="F258" s="2">
        <f t="shared" si="13"/>
        <v>0.000119384615384615</v>
      </c>
      <c r="G258" s="23">
        <f t="shared" si="15"/>
        <v>0.012974092131635</v>
      </c>
      <c r="J258" s="21"/>
    </row>
    <row r="259" spans="1:10">
      <c r="A259" s="26">
        <v>45749</v>
      </c>
      <c r="B259" s="27">
        <v>60200</v>
      </c>
      <c r="C259" s="2">
        <f t="shared" si="14"/>
        <v>-0.0211382113821138</v>
      </c>
      <c r="D259" s="2">
        <f t="shared" si="16"/>
        <v>-0.0213648224976968</v>
      </c>
      <c r="E259" s="23">
        <v>0.03115</v>
      </c>
      <c r="F259" s="2">
        <f t="shared" ref="F259:F322" si="17">E259/260</f>
        <v>0.000119807692307692</v>
      </c>
      <c r="G259" s="23">
        <f t="shared" si="15"/>
        <v>-0.0214846301900045</v>
      </c>
      <c r="J259" s="21"/>
    </row>
    <row r="260" spans="1:10">
      <c r="A260" s="26">
        <v>45718</v>
      </c>
      <c r="B260" s="27">
        <v>60500</v>
      </c>
      <c r="C260" s="2">
        <f t="shared" ref="C260:C323" si="18">(B260-B259)/B259</f>
        <v>0.00498338870431894</v>
      </c>
      <c r="D260" s="2">
        <f t="shared" si="16"/>
        <v>0.0049710127220204</v>
      </c>
      <c r="E260" s="23">
        <v>0.0312</v>
      </c>
      <c r="F260" s="2">
        <f t="shared" si="17"/>
        <v>0.00012</v>
      </c>
      <c r="G260" s="23">
        <f t="shared" ref="G260:G323" si="19">D260-F260</f>
        <v>0.0048510127220204</v>
      </c>
      <c r="J260" s="21"/>
    </row>
    <row r="261" spans="1:10">
      <c r="A261" s="28" t="s">
        <v>172</v>
      </c>
      <c r="B261" s="27">
        <v>62200</v>
      </c>
      <c r="C261" s="2">
        <f t="shared" si="18"/>
        <v>0.028099173553719</v>
      </c>
      <c r="D261" s="2">
        <f t="shared" si="16"/>
        <v>0.027711634708338</v>
      </c>
      <c r="E261" s="23">
        <v>0.03107</v>
      </c>
      <c r="F261" s="2">
        <f t="shared" si="17"/>
        <v>0.0001195</v>
      </c>
      <c r="G261" s="23">
        <f t="shared" si="19"/>
        <v>0.027592134708338</v>
      </c>
      <c r="J261" s="21"/>
    </row>
    <row r="262" spans="1:10">
      <c r="A262" s="28" t="s">
        <v>173</v>
      </c>
      <c r="B262" s="27">
        <v>62000</v>
      </c>
      <c r="C262" s="2">
        <f t="shared" si="18"/>
        <v>-0.00321543408360129</v>
      </c>
      <c r="D262" s="2">
        <f t="shared" si="16"/>
        <v>-0.00322061470004217</v>
      </c>
      <c r="E262" s="23">
        <v>0.03095</v>
      </c>
      <c r="F262" s="2">
        <f t="shared" si="17"/>
        <v>0.000119038461538462</v>
      </c>
      <c r="G262" s="23">
        <f t="shared" si="19"/>
        <v>-0.00333965316158063</v>
      </c>
      <c r="J262" s="21"/>
    </row>
    <row r="263" spans="1:10">
      <c r="A263" s="28" t="s">
        <v>174</v>
      </c>
      <c r="B263" s="27">
        <v>61600</v>
      </c>
      <c r="C263" s="2">
        <f t="shared" si="18"/>
        <v>-0.00645161290322581</v>
      </c>
      <c r="D263" s="2">
        <f t="shared" si="16"/>
        <v>-0.00647251450561748</v>
      </c>
      <c r="E263" s="23">
        <v>0.03146</v>
      </c>
      <c r="F263" s="2">
        <f t="shared" si="17"/>
        <v>0.000121</v>
      </c>
      <c r="G263" s="23">
        <f t="shared" si="19"/>
        <v>-0.00659351450561748</v>
      </c>
      <c r="J263" s="21"/>
    </row>
    <row r="264" spans="1:10">
      <c r="A264" s="28" t="s">
        <v>175</v>
      </c>
      <c r="B264" s="27">
        <v>61800</v>
      </c>
      <c r="C264" s="2">
        <f t="shared" si="18"/>
        <v>0.00324675324675325</v>
      </c>
      <c r="D264" s="2">
        <f t="shared" si="16"/>
        <v>0.00324149392417102</v>
      </c>
      <c r="E264" s="23">
        <v>0.03167</v>
      </c>
      <c r="F264" s="2">
        <f t="shared" si="17"/>
        <v>0.000121807692307692</v>
      </c>
      <c r="G264" s="23">
        <f t="shared" si="19"/>
        <v>0.00311968623186333</v>
      </c>
      <c r="J264" s="21"/>
    </row>
    <row r="265" spans="1:10">
      <c r="A265" s="28" t="s">
        <v>176</v>
      </c>
      <c r="B265" s="27">
        <v>61900</v>
      </c>
      <c r="C265" s="2">
        <f t="shared" si="18"/>
        <v>0.00161812297734628</v>
      </c>
      <c r="D265" s="2">
        <f t="shared" si="16"/>
        <v>0.00161681522690526</v>
      </c>
      <c r="E265" s="23">
        <v>0.03157</v>
      </c>
      <c r="F265" s="2">
        <f t="shared" si="17"/>
        <v>0.000121423076923077</v>
      </c>
      <c r="G265" s="23">
        <f t="shared" si="19"/>
        <v>0.00149539214998218</v>
      </c>
      <c r="J265" s="21"/>
    </row>
    <row r="266" spans="1:10">
      <c r="A266" s="28" t="s">
        <v>177</v>
      </c>
      <c r="B266" s="27">
        <v>62000</v>
      </c>
      <c r="C266" s="2">
        <f t="shared" si="18"/>
        <v>0.00161550888529887</v>
      </c>
      <c r="D266" s="2">
        <f t="shared" si="16"/>
        <v>0.0016142053545412</v>
      </c>
      <c r="E266" s="23">
        <v>0.03176</v>
      </c>
      <c r="F266" s="2">
        <f t="shared" si="17"/>
        <v>0.000122153846153846</v>
      </c>
      <c r="G266" s="23">
        <f t="shared" si="19"/>
        <v>0.00149205150838735</v>
      </c>
    </row>
    <row r="267" spans="1:10">
      <c r="A267" s="28" t="s">
        <v>178</v>
      </c>
      <c r="B267" s="27">
        <v>61900</v>
      </c>
      <c r="C267" s="2">
        <f t="shared" si="18"/>
        <v>-0.00161290322580645</v>
      </c>
      <c r="D267" s="2">
        <f t="shared" si="16"/>
        <v>-0.00161420535454111</v>
      </c>
      <c r="E267" s="23">
        <v>0.03192</v>
      </c>
      <c r="F267" s="2">
        <f t="shared" si="17"/>
        <v>0.000122769230769231</v>
      </c>
      <c r="G267" s="23">
        <f t="shared" si="19"/>
        <v>-0.00173697458531034</v>
      </c>
    </row>
    <row r="268" spans="1:10">
      <c r="A268" s="28" t="s">
        <v>179</v>
      </c>
      <c r="B268" s="27">
        <v>61700</v>
      </c>
      <c r="C268" s="2">
        <f t="shared" si="18"/>
        <v>-0.00323101777059774</v>
      </c>
      <c r="D268" s="2">
        <f t="shared" si="16"/>
        <v>-0.0032362487792083</v>
      </c>
      <c r="E268" s="23">
        <v>0.03206</v>
      </c>
      <c r="F268" s="2">
        <f t="shared" si="17"/>
        <v>0.000123307692307692</v>
      </c>
      <c r="G268" s="23">
        <f t="shared" si="19"/>
        <v>-0.003359556471516</v>
      </c>
    </row>
    <row r="269" spans="1:10">
      <c r="A269" s="28" t="s">
        <v>180</v>
      </c>
      <c r="B269" s="27">
        <v>61600</v>
      </c>
      <c r="C269" s="2">
        <f t="shared" si="18"/>
        <v>-0.00162074554294976</v>
      </c>
      <c r="D269" s="2">
        <f t="shared" si="16"/>
        <v>-0.00162206037186806</v>
      </c>
      <c r="E269" s="23">
        <v>0.03191</v>
      </c>
      <c r="F269" s="2">
        <f t="shared" si="17"/>
        <v>0.000122730769230769</v>
      </c>
      <c r="G269" s="23">
        <f t="shared" si="19"/>
        <v>-0.00174479114109882</v>
      </c>
    </row>
    <row r="270" spans="1:10">
      <c r="A270" s="28" t="s">
        <v>181</v>
      </c>
      <c r="B270" s="27">
        <v>61400</v>
      </c>
      <c r="C270" s="2">
        <f t="shared" si="18"/>
        <v>-0.00324675324675325</v>
      </c>
      <c r="D270" s="2">
        <f t="shared" si="16"/>
        <v>-0.00325203538637734</v>
      </c>
      <c r="E270" s="23">
        <v>0.03189</v>
      </c>
      <c r="F270" s="2">
        <f t="shared" si="17"/>
        <v>0.000122653846153846</v>
      </c>
      <c r="G270" s="23">
        <f t="shared" si="19"/>
        <v>-0.00337468923253119</v>
      </c>
    </row>
    <row r="271" spans="1:10">
      <c r="A271" s="26">
        <v>45931</v>
      </c>
      <c r="B271" s="27">
        <v>61300</v>
      </c>
      <c r="C271" s="2">
        <f t="shared" si="18"/>
        <v>-0.00162866449511401</v>
      </c>
      <c r="D271" s="2">
        <f t="shared" si="16"/>
        <v>-0.00162999221093106</v>
      </c>
      <c r="E271" s="23">
        <v>0.03153</v>
      </c>
      <c r="F271" s="2">
        <f t="shared" si="17"/>
        <v>0.000121269230769231</v>
      </c>
      <c r="G271" s="23">
        <f t="shared" si="19"/>
        <v>-0.0017512614417003</v>
      </c>
    </row>
    <row r="272" spans="1:10">
      <c r="A272" s="26">
        <v>45901</v>
      </c>
      <c r="B272" s="27">
        <v>61800</v>
      </c>
      <c r="C272" s="2">
        <f t="shared" si="18"/>
        <v>0.00815660685154975</v>
      </c>
      <c r="D272" s="2">
        <f t="shared" si="16"/>
        <v>0.00812352152147935</v>
      </c>
      <c r="E272" s="23">
        <v>0.03095</v>
      </c>
      <c r="F272" s="2">
        <f t="shared" si="17"/>
        <v>0.000119038461538462</v>
      </c>
      <c r="G272" s="23">
        <f t="shared" si="19"/>
        <v>0.00800448305994089</v>
      </c>
    </row>
    <row r="273" spans="1:10">
      <c r="A273" s="26">
        <v>45870</v>
      </c>
      <c r="B273" s="27">
        <v>61700</v>
      </c>
      <c r="C273" s="2">
        <f t="shared" si="18"/>
        <v>-0.00161812297734628</v>
      </c>
      <c r="D273" s="2">
        <f t="shared" si="16"/>
        <v>-0.00161943355230299</v>
      </c>
      <c r="E273" s="23">
        <v>0.03112</v>
      </c>
      <c r="F273" s="2">
        <f t="shared" si="17"/>
        <v>0.000119692307692308</v>
      </c>
      <c r="G273" s="23">
        <f t="shared" si="19"/>
        <v>-0.0017391258599953</v>
      </c>
    </row>
    <row r="274" spans="1:10">
      <c r="A274" s="26">
        <v>45839</v>
      </c>
      <c r="B274" s="27">
        <v>61700</v>
      </c>
      <c r="C274" s="2">
        <f t="shared" si="18"/>
        <v>0</v>
      </c>
      <c r="D274" s="2">
        <f t="shared" si="16"/>
        <v>0</v>
      </c>
      <c r="E274" s="23">
        <v>0.03093</v>
      </c>
      <c r="F274" s="2">
        <f t="shared" si="17"/>
        <v>0.000118961538461538</v>
      </c>
      <c r="G274" s="23">
        <f t="shared" si="19"/>
        <v>-0.000118961538461538</v>
      </c>
    </row>
    <row r="275" spans="1:10">
      <c r="A275" s="26">
        <v>45809</v>
      </c>
      <c r="B275" s="27">
        <v>62500</v>
      </c>
      <c r="C275" s="2">
        <f t="shared" si="18"/>
        <v>0.0129659643435981</v>
      </c>
      <c r="D275" s="2">
        <f t="shared" si="16"/>
        <v>0.0128826258310136</v>
      </c>
      <c r="E275" s="23">
        <v>0.03092</v>
      </c>
      <c r="F275" s="2">
        <f t="shared" si="17"/>
        <v>0.000118923076923077</v>
      </c>
      <c r="G275" s="23">
        <f t="shared" si="19"/>
        <v>0.0127637027540905</v>
      </c>
    </row>
    <row r="276" spans="1:10">
      <c r="A276" s="26">
        <v>45717</v>
      </c>
      <c r="B276" s="27">
        <v>63000</v>
      </c>
      <c r="C276" s="2">
        <f t="shared" si="18"/>
        <v>0.008</v>
      </c>
      <c r="D276" s="2">
        <f t="shared" si="16"/>
        <v>0.00796816964917688</v>
      </c>
      <c r="E276" s="23">
        <v>0.03113</v>
      </c>
      <c r="F276" s="2">
        <f t="shared" si="17"/>
        <v>0.000119730769230769</v>
      </c>
      <c r="G276" s="23">
        <f t="shared" si="19"/>
        <v>0.00784843887994611</v>
      </c>
    </row>
    <row r="277" spans="1:10">
      <c r="A277" s="26">
        <v>45689</v>
      </c>
      <c r="B277" s="27">
        <v>63100</v>
      </c>
      <c r="C277" s="2">
        <f t="shared" si="18"/>
        <v>0.00158730158730159</v>
      </c>
      <c r="D277" s="2">
        <f t="shared" si="16"/>
        <v>0.00158604315563478</v>
      </c>
      <c r="E277" s="23">
        <v>0.03108</v>
      </c>
      <c r="F277" s="2">
        <f t="shared" si="17"/>
        <v>0.000119538461538462</v>
      </c>
      <c r="G277" s="23">
        <f t="shared" si="19"/>
        <v>0.00146650469409632</v>
      </c>
    </row>
    <row r="278" spans="1:10">
      <c r="A278" s="28" t="s">
        <v>182</v>
      </c>
      <c r="B278" s="27">
        <v>63400</v>
      </c>
      <c r="C278" s="2">
        <f t="shared" si="18"/>
        <v>0.00475435816164818</v>
      </c>
      <c r="D278" s="2">
        <f t="shared" si="16"/>
        <v>0.00474309189601285</v>
      </c>
      <c r="E278" s="23">
        <v>0.03118</v>
      </c>
      <c r="F278" s="2">
        <f t="shared" si="17"/>
        <v>0.000119923076923077</v>
      </c>
      <c r="G278" s="23">
        <f t="shared" si="19"/>
        <v>0.00462316881908978</v>
      </c>
    </row>
    <row r="279" spans="1:10">
      <c r="A279" s="28" t="s">
        <v>183</v>
      </c>
      <c r="B279" s="27">
        <v>63300</v>
      </c>
      <c r="C279" s="2">
        <f t="shared" si="18"/>
        <v>-0.00157728706624606</v>
      </c>
      <c r="D279" s="2">
        <f t="shared" si="16"/>
        <v>-0.00157853229304973</v>
      </c>
      <c r="E279" s="23">
        <v>0.03114</v>
      </c>
      <c r="F279" s="2">
        <f t="shared" si="17"/>
        <v>0.000119769230769231</v>
      </c>
      <c r="G279" s="23">
        <f t="shared" si="19"/>
        <v>-0.00169830152381896</v>
      </c>
    </row>
    <row r="280" spans="1:10">
      <c r="A280" s="28" t="s">
        <v>184</v>
      </c>
      <c r="B280" s="27">
        <v>63800</v>
      </c>
      <c r="C280" s="2">
        <f t="shared" si="18"/>
        <v>0.00789889415481832</v>
      </c>
      <c r="D280" s="2">
        <f t="shared" si="16"/>
        <v>0.00786786120061374</v>
      </c>
      <c r="E280" s="23">
        <v>0.03109</v>
      </c>
      <c r="F280" s="2">
        <f t="shared" si="17"/>
        <v>0.000119576923076923</v>
      </c>
      <c r="G280" s="23">
        <f t="shared" si="19"/>
        <v>0.00774828427753681</v>
      </c>
    </row>
    <row r="281" spans="1:10">
      <c r="A281" s="28" t="s">
        <v>185</v>
      </c>
      <c r="B281" s="27">
        <v>63800</v>
      </c>
      <c r="C281" s="2">
        <f t="shared" si="18"/>
        <v>0</v>
      </c>
      <c r="D281" s="2">
        <f t="shared" si="16"/>
        <v>0</v>
      </c>
      <c r="E281" s="23">
        <v>0.03122</v>
      </c>
      <c r="F281" s="2">
        <f t="shared" si="17"/>
        <v>0.000120076923076923</v>
      </c>
      <c r="G281" s="23">
        <f t="shared" si="19"/>
        <v>-0.000120076923076923</v>
      </c>
      <c r="J281" s="21"/>
    </row>
    <row r="282" spans="1:10">
      <c r="A282" s="28" t="s">
        <v>186</v>
      </c>
      <c r="B282" s="27">
        <v>63900</v>
      </c>
      <c r="C282" s="2">
        <f t="shared" si="18"/>
        <v>0.00156739811912226</v>
      </c>
      <c r="D282" s="2">
        <f t="shared" si="16"/>
        <v>0.00156617103274488</v>
      </c>
      <c r="E282" s="23">
        <v>0.03122</v>
      </c>
      <c r="F282" s="2">
        <f t="shared" si="17"/>
        <v>0.000120076923076923</v>
      </c>
      <c r="G282" s="23">
        <f t="shared" si="19"/>
        <v>0.00144609410966795</v>
      </c>
      <c r="J282" s="21"/>
    </row>
    <row r="283" spans="1:10">
      <c r="A283" s="28" t="s">
        <v>187</v>
      </c>
      <c r="B283" s="27">
        <v>63800.8</v>
      </c>
      <c r="C283" s="2">
        <f t="shared" si="18"/>
        <v>-0.00155242566510168</v>
      </c>
      <c r="D283" s="2">
        <f t="shared" si="16"/>
        <v>-0.00155363192640687</v>
      </c>
      <c r="E283" s="23">
        <v>0.03119</v>
      </c>
      <c r="F283" s="2">
        <f t="shared" si="17"/>
        <v>0.000119961538461538</v>
      </c>
      <c r="G283" s="23">
        <f t="shared" si="19"/>
        <v>-0.0016735934648684</v>
      </c>
      <c r="J283" s="21"/>
    </row>
    <row r="284" spans="1:10">
      <c r="A284" s="28" t="s">
        <v>188</v>
      </c>
      <c r="B284" s="27">
        <v>63900</v>
      </c>
      <c r="C284" s="2">
        <f t="shared" si="18"/>
        <v>0.00155483943774995</v>
      </c>
      <c r="D284" s="2">
        <f t="shared" si="16"/>
        <v>0.0015536319264069</v>
      </c>
      <c r="E284" s="23">
        <v>0.03088</v>
      </c>
      <c r="F284" s="2">
        <f t="shared" si="17"/>
        <v>0.000118769230769231</v>
      </c>
      <c r="G284" s="23">
        <f t="shared" si="19"/>
        <v>0.00143486269563767</v>
      </c>
      <c r="J284" s="21"/>
    </row>
    <row r="285" spans="1:10">
      <c r="A285" s="28" t="s">
        <v>189</v>
      </c>
      <c r="B285" s="27">
        <v>64495.3</v>
      </c>
      <c r="C285" s="2">
        <f t="shared" si="18"/>
        <v>0.00931611893583729</v>
      </c>
      <c r="D285" s="2">
        <f t="shared" si="16"/>
        <v>0.00927299154616595</v>
      </c>
      <c r="E285" s="23">
        <v>0.03097</v>
      </c>
      <c r="F285" s="2">
        <f t="shared" si="17"/>
        <v>0.000119115384615385</v>
      </c>
      <c r="G285" s="23">
        <f t="shared" si="19"/>
        <v>0.00915387616155057</v>
      </c>
      <c r="J285" s="21"/>
    </row>
    <row r="286" spans="1:10">
      <c r="A286" s="28" t="s">
        <v>190</v>
      </c>
      <c r="B286" s="27">
        <v>63403.9</v>
      </c>
      <c r="C286" s="2">
        <f t="shared" si="18"/>
        <v>-0.016922163320428</v>
      </c>
      <c r="D286" s="2">
        <f t="shared" si="16"/>
        <v>-0.0170669791828118</v>
      </c>
      <c r="E286" s="23">
        <v>0.0311</v>
      </c>
      <c r="F286" s="2">
        <f t="shared" si="17"/>
        <v>0.000119615384615385</v>
      </c>
      <c r="G286" s="23">
        <f t="shared" si="19"/>
        <v>-0.0171865945674272</v>
      </c>
      <c r="J286" s="21"/>
    </row>
    <row r="287" spans="1:10">
      <c r="A287" s="28" t="s">
        <v>191</v>
      </c>
      <c r="B287" s="27">
        <v>64197.7</v>
      </c>
      <c r="C287" s="2">
        <f t="shared" si="18"/>
        <v>0.0125197345904589</v>
      </c>
      <c r="D287" s="2">
        <f t="shared" si="16"/>
        <v>0.0124420107621506</v>
      </c>
      <c r="E287" s="23">
        <v>0.0299</v>
      </c>
      <c r="F287" s="2">
        <f t="shared" si="17"/>
        <v>0.000115</v>
      </c>
      <c r="G287" s="23">
        <f t="shared" si="19"/>
        <v>0.0123270107621506</v>
      </c>
      <c r="J287" s="21"/>
    </row>
    <row r="288" spans="1:10">
      <c r="A288" s="28" t="s">
        <v>192</v>
      </c>
      <c r="B288" s="27">
        <v>64098.4</v>
      </c>
      <c r="C288" s="2">
        <f t="shared" si="18"/>
        <v>-0.00154678438635645</v>
      </c>
      <c r="D288" s="2">
        <f t="shared" si="16"/>
        <v>-0.00154798189234042</v>
      </c>
      <c r="E288" s="23">
        <v>0.02985</v>
      </c>
      <c r="F288" s="2">
        <f t="shared" si="17"/>
        <v>0.000114807692307692</v>
      </c>
      <c r="G288" s="23">
        <f t="shared" si="19"/>
        <v>-0.00166278958464811</v>
      </c>
    </row>
    <row r="289" spans="1:10">
      <c r="A289" s="28" t="s">
        <v>193</v>
      </c>
      <c r="B289" s="27">
        <v>64495.3</v>
      </c>
      <c r="C289" s="2">
        <f t="shared" si="18"/>
        <v>0.00619204223506361</v>
      </c>
      <c r="D289" s="2">
        <f t="shared" ref="D289:D352" si="20">LN(B289/B288)</f>
        <v>0.00617295031300158</v>
      </c>
      <c r="E289" s="23">
        <v>0.02973</v>
      </c>
      <c r="F289" s="2">
        <f t="shared" si="17"/>
        <v>0.000114346153846154</v>
      </c>
      <c r="G289" s="23">
        <f t="shared" si="19"/>
        <v>0.00605860415915542</v>
      </c>
    </row>
    <row r="290" spans="1:10">
      <c r="A290" s="28" t="s">
        <v>194</v>
      </c>
      <c r="B290" s="27">
        <v>63701.6</v>
      </c>
      <c r="C290" s="2">
        <f t="shared" si="18"/>
        <v>-0.0123063230964117</v>
      </c>
      <c r="D290" s="2">
        <f t="shared" si="20"/>
        <v>-0.0123826729275792</v>
      </c>
      <c r="E290" s="23">
        <v>0.02957</v>
      </c>
      <c r="F290" s="2">
        <f t="shared" si="17"/>
        <v>0.000113730769230769</v>
      </c>
      <c r="G290" s="23">
        <f t="shared" si="19"/>
        <v>-0.0124964036968099</v>
      </c>
    </row>
    <row r="291" spans="1:10">
      <c r="A291" s="26">
        <v>45638</v>
      </c>
      <c r="B291" s="27">
        <v>64098.4</v>
      </c>
      <c r="C291" s="2">
        <f t="shared" si="18"/>
        <v>0.00622904291257995</v>
      </c>
      <c r="D291" s="2">
        <f t="shared" si="20"/>
        <v>0.0062097226145776</v>
      </c>
      <c r="E291" s="23">
        <v>0.02953</v>
      </c>
      <c r="F291" s="2">
        <f t="shared" si="17"/>
        <v>0.000113576923076923</v>
      </c>
      <c r="G291" s="23">
        <f t="shared" si="19"/>
        <v>0.00609614569150068</v>
      </c>
    </row>
    <row r="292" spans="1:10">
      <c r="A292" s="26">
        <v>45608</v>
      </c>
      <c r="B292" s="27">
        <v>63701.6</v>
      </c>
      <c r="C292" s="2">
        <f t="shared" si="18"/>
        <v>-0.00619048213371945</v>
      </c>
      <c r="D292" s="2">
        <f t="shared" si="20"/>
        <v>-0.00620972261457755</v>
      </c>
      <c r="E292" s="23">
        <v>0.02916</v>
      </c>
      <c r="F292" s="2">
        <f t="shared" si="17"/>
        <v>0.000112153846153846</v>
      </c>
      <c r="G292" s="23">
        <f t="shared" si="19"/>
        <v>-0.00632187646073139</v>
      </c>
    </row>
    <row r="293" spans="1:10">
      <c r="A293" s="26">
        <v>45577</v>
      </c>
      <c r="B293" s="27">
        <v>63403.9</v>
      </c>
      <c r="C293" s="2">
        <f t="shared" si="18"/>
        <v>-0.00467335200371729</v>
      </c>
      <c r="D293" s="2">
        <f t="shared" si="20"/>
        <v>-0.00468430625523268</v>
      </c>
      <c r="E293" s="23">
        <v>0.02906</v>
      </c>
      <c r="F293" s="2">
        <f t="shared" si="17"/>
        <v>0.000111769230769231</v>
      </c>
      <c r="G293" s="23">
        <f t="shared" si="19"/>
        <v>-0.00479607548600191</v>
      </c>
    </row>
    <row r="294" spans="1:10">
      <c r="A294" s="26">
        <v>45547</v>
      </c>
      <c r="B294" s="27">
        <v>63602.3</v>
      </c>
      <c r="C294" s="2">
        <f t="shared" si="18"/>
        <v>0.00312914505259142</v>
      </c>
      <c r="D294" s="2">
        <f t="shared" si="20"/>
        <v>0.00312425946736138</v>
      </c>
      <c r="E294" s="23">
        <v>0.02911</v>
      </c>
      <c r="F294" s="2">
        <f t="shared" si="17"/>
        <v>0.000111961538461538</v>
      </c>
      <c r="G294" s="23">
        <f t="shared" si="19"/>
        <v>0.00301229792889984</v>
      </c>
    </row>
    <row r="295" spans="1:10">
      <c r="A295" s="26">
        <v>45455</v>
      </c>
      <c r="B295" s="27">
        <v>63602.3</v>
      </c>
      <c r="C295" s="2">
        <f t="shared" si="18"/>
        <v>0</v>
      </c>
      <c r="D295" s="2">
        <f t="shared" si="20"/>
        <v>0</v>
      </c>
      <c r="E295" s="23">
        <v>0.02906</v>
      </c>
      <c r="F295" s="2">
        <f t="shared" si="17"/>
        <v>0.000111769230769231</v>
      </c>
      <c r="G295" s="23">
        <f t="shared" si="19"/>
        <v>-0.000111769230769231</v>
      </c>
    </row>
    <row r="296" spans="1:10">
      <c r="A296" s="26">
        <v>45424</v>
      </c>
      <c r="B296" s="27">
        <v>63800.8</v>
      </c>
      <c r="C296" s="2">
        <f t="shared" si="18"/>
        <v>0.00312095631761744</v>
      </c>
      <c r="D296" s="2">
        <f t="shared" si="20"/>
        <v>0.00311609624287772</v>
      </c>
      <c r="E296" s="23">
        <v>0.02907</v>
      </c>
      <c r="F296" s="2">
        <f t="shared" si="17"/>
        <v>0.000111807692307692</v>
      </c>
      <c r="G296" s="23">
        <f t="shared" si="19"/>
        <v>0.00300428855057003</v>
      </c>
    </row>
    <row r="297" spans="1:10">
      <c r="A297" s="26">
        <v>45394</v>
      </c>
      <c r="B297" s="27">
        <v>62808.5</v>
      </c>
      <c r="C297" s="2">
        <f t="shared" si="18"/>
        <v>-0.0155530965128964</v>
      </c>
      <c r="D297" s="2">
        <f t="shared" si="20"/>
        <v>-0.0156753148234858</v>
      </c>
      <c r="E297" s="23">
        <v>0.02908</v>
      </c>
      <c r="F297" s="2">
        <f t="shared" si="17"/>
        <v>0.000111846153846154</v>
      </c>
      <c r="G297" s="23">
        <f t="shared" si="19"/>
        <v>-0.015787160977332</v>
      </c>
    </row>
    <row r="298" spans="1:10">
      <c r="A298" s="26">
        <v>45363</v>
      </c>
      <c r="B298" s="27">
        <v>63403.9</v>
      </c>
      <c r="C298" s="2">
        <f t="shared" si="18"/>
        <v>0.00947960865169526</v>
      </c>
      <c r="D298" s="2">
        <f t="shared" si="20"/>
        <v>0.00943495911324693</v>
      </c>
      <c r="E298" s="23">
        <v>0.02888</v>
      </c>
      <c r="F298" s="2">
        <f t="shared" si="17"/>
        <v>0.000111076923076923</v>
      </c>
      <c r="G298" s="23">
        <f t="shared" si="19"/>
        <v>0.00932388219017</v>
      </c>
    </row>
    <row r="299" spans="1:10">
      <c r="A299" s="26">
        <v>45334</v>
      </c>
      <c r="B299" s="27">
        <v>63999.2</v>
      </c>
      <c r="C299" s="2">
        <f t="shared" si="18"/>
        <v>0.00938901234782081</v>
      </c>
      <c r="D299" s="2">
        <f t="shared" si="20"/>
        <v>0.00934520953470289</v>
      </c>
      <c r="E299" s="23">
        <v>0.02854</v>
      </c>
      <c r="F299" s="2">
        <f t="shared" si="17"/>
        <v>0.000109769230769231</v>
      </c>
      <c r="G299" s="23">
        <f t="shared" si="19"/>
        <v>0.00923544030393366</v>
      </c>
    </row>
    <row r="300" spans="1:10">
      <c r="A300" s="28" t="s">
        <v>195</v>
      </c>
      <c r="B300" s="27">
        <v>64098.4</v>
      </c>
      <c r="C300" s="2">
        <f t="shared" si="18"/>
        <v>0.00155001937524226</v>
      </c>
      <c r="D300" s="2">
        <f t="shared" si="20"/>
        <v>0.00154881933510736</v>
      </c>
      <c r="E300" s="23">
        <v>0.02869</v>
      </c>
      <c r="F300" s="2">
        <f t="shared" si="17"/>
        <v>0.000110346153846154</v>
      </c>
      <c r="G300" s="23">
        <f t="shared" si="19"/>
        <v>0.0014384731812612</v>
      </c>
    </row>
    <row r="301" spans="1:10">
      <c r="A301" s="28" t="s">
        <v>196</v>
      </c>
      <c r="B301" s="27">
        <v>63999.2</v>
      </c>
      <c r="C301" s="2">
        <f t="shared" si="18"/>
        <v>-0.00154762053342992</v>
      </c>
      <c r="D301" s="2">
        <f t="shared" si="20"/>
        <v>-0.00154881933510739</v>
      </c>
      <c r="E301" s="23">
        <v>0.02871</v>
      </c>
      <c r="F301" s="2">
        <f t="shared" si="17"/>
        <v>0.000110423076923077</v>
      </c>
      <c r="G301" s="23">
        <f t="shared" si="19"/>
        <v>-0.00165924241203047</v>
      </c>
      <c r="J301" s="21"/>
    </row>
    <row r="302" spans="1:10">
      <c r="A302" s="28" t="s">
        <v>197</v>
      </c>
      <c r="B302" s="27">
        <v>64098.4</v>
      </c>
      <c r="C302" s="2">
        <f t="shared" si="18"/>
        <v>0.00155001937524226</v>
      </c>
      <c r="D302" s="2">
        <f t="shared" si="20"/>
        <v>0.00154881933510736</v>
      </c>
      <c r="E302" s="23">
        <v>0.0287</v>
      </c>
      <c r="F302" s="2">
        <f t="shared" si="17"/>
        <v>0.000110384615384615</v>
      </c>
      <c r="G302" s="23">
        <f t="shared" si="19"/>
        <v>0.00143843471972274</v>
      </c>
      <c r="J302" s="21"/>
    </row>
    <row r="303" spans="1:10">
      <c r="A303" s="28" t="s">
        <v>198</v>
      </c>
      <c r="B303" s="27">
        <v>64296.9</v>
      </c>
      <c r="C303" s="2">
        <f t="shared" si="18"/>
        <v>0.00309680116820389</v>
      </c>
      <c r="D303" s="2">
        <f t="shared" si="20"/>
        <v>0.0030920159561545</v>
      </c>
      <c r="E303" s="23">
        <v>0.02862</v>
      </c>
      <c r="F303" s="2">
        <f t="shared" si="17"/>
        <v>0.000110076923076923</v>
      </c>
      <c r="G303" s="23">
        <f t="shared" si="19"/>
        <v>0.00298193903307758</v>
      </c>
      <c r="J303" s="21"/>
    </row>
    <row r="304" spans="1:10">
      <c r="A304" s="28" t="s">
        <v>199</v>
      </c>
      <c r="B304" s="27">
        <v>63800.8</v>
      </c>
      <c r="C304" s="2">
        <f t="shared" si="18"/>
        <v>-0.00771576856738036</v>
      </c>
      <c r="D304" s="2">
        <f t="shared" si="20"/>
        <v>-0.0077456891157256</v>
      </c>
      <c r="E304" s="23">
        <v>0.0287</v>
      </c>
      <c r="F304" s="2">
        <f t="shared" si="17"/>
        <v>0.000110384615384615</v>
      </c>
      <c r="G304" s="23">
        <f t="shared" si="19"/>
        <v>-0.00785607373111021</v>
      </c>
      <c r="J304" s="21"/>
    </row>
    <row r="305" spans="1:10">
      <c r="A305" s="28" t="s">
        <v>200</v>
      </c>
      <c r="B305" s="27">
        <v>63800.8</v>
      </c>
      <c r="C305" s="2">
        <f t="shared" si="18"/>
        <v>0</v>
      </c>
      <c r="D305" s="2">
        <f t="shared" si="20"/>
        <v>0</v>
      </c>
      <c r="E305" s="23">
        <v>0.0287</v>
      </c>
      <c r="F305" s="2">
        <f t="shared" si="17"/>
        <v>0.000110384615384615</v>
      </c>
      <c r="G305" s="23">
        <f t="shared" si="19"/>
        <v>-0.000110384615384615</v>
      </c>
      <c r="J305" s="21"/>
    </row>
    <row r="306" spans="1:10">
      <c r="A306" s="28" t="s">
        <v>201</v>
      </c>
      <c r="B306" s="27">
        <v>63403.9</v>
      </c>
      <c r="C306" s="2">
        <f t="shared" si="18"/>
        <v>-0.00622092512946548</v>
      </c>
      <c r="D306" s="2">
        <f t="shared" si="20"/>
        <v>-0.00624035571023898</v>
      </c>
      <c r="E306" s="23">
        <v>0.02871</v>
      </c>
      <c r="F306" s="2">
        <f t="shared" si="17"/>
        <v>0.000110423076923077</v>
      </c>
      <c r="G306" s="23">
        <f t="shared" si="19"/>
        <v>-0.00635077878716206</v>
      </c>
      <c r="J306" s="21"/>
    </row>
    <row r="307" spans="1:10">
      <c r="A307" s="28" t="s">
        <v>202</v>
      </c>
      <c r="B307" s="27">
        <v>63106.2</v>
      </c>
      <c r="C307" s="2">
        <f t="shared" si="18"/>
        <v>-0.00469529476893384</v>
      </c>
      <c r="D307" s="2">
        <f t="shared" si="20"/>
        <v>-0.00470635229121198</v>
      </c>
      <c r="E307" s="23">
        <v>0.02867</v>
      </c>
      <c r="F307" s="2">
        <f t="shared" si="17"/>
        <v>0.000110269230769231</v>
      </c>
      <c r="G307" s="23">
        <f t="shared" si="19"/>
        <v>-0.00481662152198121</v>
      </c>
      <c r="J307" s="21"/>
    </row>
    <row r="308" spans="1:10">
      <c r="A308" s="28" t="s">
        <v>203</v>
      </c>
      <c r="B308" s="27">
        <v>62510.9</v>
      </c>
      <c r="C308" s="2">
        <f t="shared" si="18"/>
        <v>-0.00943330449306084</v>
      </c>
      <c r="D308" s="2">
        <f t="shared" si="20"/>
        <v>-0.00947807991918752</v>
      </c>
      <c r="E308" s="23">
        <v>0.02859</v>
      </c>
      <c r="F308" s="2">
        <f t="shared" si="17"/>
        <v>0.000109961538461538</v>
      </c>
      <c r="G308" s="23">
        <f t="shared" si="19"/>
        <v>-0.00958804145764906</v>
      </c>
      <c r="J308" s="21"/>
    </row>
    <row r="309" spans="1:10">
      <c r="A309" s="28" t="s">
        <v>204</v>
      </c>
      <c r="B309" s="27">
        <v>62709.3</v>
      </c>
      <c r="C309" s="2">
        <f t="shared" si="18"/>
        <v>0.00317384648117371</v>
      </c>
      <c r="D309" s="2">
        <f t="shared" si="20"/>
        <v>0.00316882046216455</v>
      </c>
      <c r="E309" s="23">
        <v>0.02859</v>
      </c>
      <c r="F309" s="2">
        <f t="shared" si="17"/>
        <v>0.000109961538461538</v>
      </c>
      <c r="G309" s="23">
        <f t="shared" si="19"/>
        <v>0.00305885892370301</v>
      </c>
      <c r="J309" s="21"/>
    </row>
    <row r="310" spans="1:10">
      <c r="A310" s="28" t="s">
        <v>205</v>
      </c>
      <c r="B310" s="27">
        <v>63205.4</v>
      </c>
      <c r="C310" s="2">
        <f t="shared" si="18"/>
        <v>0.00791110728392756</v>
      </c>
      <c r="D310" s="2">
        <f t="shared" si="20"/>
        <v>0.00787997854212964</v>
      </c>
      <c r="E310" s="23">
        <v>0.02859</v>
      </c>
      <c r="F310" s="2">
        <f t="shared" si="17"/>
        <v>0.000109961538461538</v>
      </c>
      <c r="G310" s="23">
        <f t="shared" si="19"/>
        <v>0.0077700170036681</v>
      </c>
    </row>
    <row r="311" spans="1:10">
      <c r="A311" s="28" t="s">
        <v>206</v>
      </c>
      <c r="B311" s="27">
        <v>64495.3</v>
      </c>
      <c r="C311" s="2">
        <f t="shared" si="18"/>
        <v>0.0204080663993899</v>
      </c>
      <c r="D311" s="2">
        <f t="shared" si="20"/>
        <v>0.0202026123889171</v>
      </c>
      <c r="E311" s="23">
        <v>0.0286</v>
      </c>
      <c r="F311" s="2">
        <f t="shared" si="17"/>
        <v>0.00011</v>
      </c>
      <c r="G311" s="23">
        <f t="shared" si="19"/>
        <v>0.0200926123889171</v>
      </c>
    </row>
    <row r="312" spans="1:10">
      <c r="A312" s="28" t="s">
        <v>207</v>
      </c>
      <c r="B312" s="27">
        <v>64495.3</v>
      </c>
      <c r="C312" s="2">
        <f t="shared" si="18"/>
        <v>0</v>
      </c>
      <c r="D312" s="2">
        <f t="shared" si="20"/>
        <v>0</v>
      </c>
      <c r="E312" s="23">
        <v>0.02851</v>
      </c>
      <c r="F312" s="2">
        <f t="shared" si="17"/>
        <v>0.000109653846153846</v>
      </c>
      <c r="G312" s="23">
        <f t="shared" si="19"/>
        <v>-0.000109653846153846</v>
      </c>
    </row>
    <row r="313" spans="1:10">
      <c r="A313" s="26">
        <v>45637</v>
      </c>
      <c r="B313" s="27">
        <v>64396.1</v>
      </c>
      <c r="C313" s="2">
        <f t="shared" si="18"/>
        <v>-0.00153809657447914</v>
      </c>
      <c r="D313" s="2">
        <f t="shared" si="20"/>
        <v>-0.00153928065932899</v>
      </c>
      <c r="E313" s="23">
        <v>0.02848</v>
      </c>
      <c r="F313" s="2">
        <f t="shared" si="17"/>
        <v>0.000109538461538462</v>
      </c>
      <c r="G313" s="23">
        <f t="shared" si="19"/>
        <v>-0.00164881912086745</v>
      </c>
    </row>
    <row r="314" spans="1:10">
      <c r="A314" s="26">
        <v>45607</v>
      </c>
      <c r="B314" s="27">
        <v>64693.8</v>
      </c>
      <c r="C314" s="2">
        <f t="shared" si="18"/>
        <v>0.0046229507687578</v>
      </c>
      <c r="D314" s="2">
        <f t="shared" si="20"/>
        <v>0.00461229775148487</v>
      </c>
      <c r="E314" s="23">
        <v>0.02851</v>
      </c>
      <c r="F314" s="2">
        <f t="shared" si="17"/>
        <v>0.000109653846153846</v>
      </c>
      <c r="G314" s="23">
        <f t="shared" si="19"/>
        <v>0.00450264390533102</v>
      </c>
    </row>
    <row r="315" spans="1:10">
      <c r="A315" s="26">
        <v>45515</v>
      </c>
      <c r="B315" s="27">
        <v>65189.9</v>
      </c>
      <c r="C315" s="2">
        <f t="shared" si="18"/>
        <v>0.00766843190537576</v>
      </c>
      <c r="D315" s="2">
        <f t="shared" si="20"/>
        <v>0.00763917893585654</v>
      </c>
      <c r="E315" s="23">
        <v>0.02843</v>
      </c>
      <c r="F315" s="2">
        <f t="shared" si="17"/>
        <v>0.000109346153846154</v>
      </c>
      <c r="G315" s="23">
        <f t="shared" si="19"/>
        <v>0.00752983278201039</v>
      </c>
    </row>
    <row r="316" spans="1:10">
      <c r="A316" s="26">
        <v>45484</v>
      </c>
      <c r="B316" s="27">
        <v>65388.4</v>
      </c>
      <c r="C316" s="2">
        <f t="shared" si="18"/>
        <v>0.00304495021468049</v>
      </c>
      <c r="D316" s="2">
        <f t="shared" si="20"/>
        <v>0.00304032374298038</v>
      </c>
      <c r="E316" s="23">
        <v>0.02852</v>
      </c>
      <c r="F316" s="2">
        <f t="shared" si="17"/>
        <v>0.000109692307692308</v>
      </c>
      <c r="G316" s="23">
        <f t="shared" si="19"/>
        <v>0.00293063143528808</v>
      </c>
    </row>
    <row r="317" spans="1:10">
      <c r="A317" s="26">
        <v>45454</v>
      </c>
      <c r="B317" s="27">
        <v>65289.1</v>
      </c>
      <c r="C317" s="2">
        <f t="shared" si="18"/>
        <v>-0.00151861798117102</v>
      </c>
      <c r="D317" s="2">
        <f t="shared" si="20"/>
        <v>-0.00151977225020121</v>
      </c>
      <c r="E317" s="23">
        <v>0.02825</v>
      </c>
      <c r="F317" s="2">
        <f t="shared" si="17"/>
        <v>0.000108653846153846</v>
      </c>
      <c r="G317" s="23">
        <f t="shared" si="19"/>
        <v>-0.00162842609635506</v>
      </c>
    </row>
    <row r="318" spans="1:10">
      <c r="A318" s="26">
        <v>45423</v>
      </c>
      <c r="B318" s="27">
        <v>64991.5</v>
      </c>
      <c r="C318" s="2">
        <f t="shared" si="18"/>
        <v>-0.00455818812022219</v>
      </c>
      <c r="D318" s="2">
        <f t="shared" si="20"/>
        <v>-0.00456860833662017</v>
      </c>
      <c r="E318" s="23">
        <v>0.02827</v>
      </c>
      <c r="F318" s="2">
        <f t="shared" si="17"/>
        <v>0.000108730769230769</v>
      </c>
      <c r="G318" s="23">
        <f t="shared" si="19"/>
        <v>-0.00467733910585094</v>
      </c>
    </row>
    <row r="319" spans="1:10">
      <c r="A319" s="26">
        <v>45393</v>
      </c>
      <c r="B319" s="27">
        <v>65090.7</v>
      </c>
      <c r="C319" s="2">
        <f t="shared" si="18"/>
        <v>0.00152635344621985</v>
      </c>
      <c r="D319" s="2">
        <f t="shared" si="20"/>
        <v>0.0015251897527862</v>
      </c>
      <c r="E319" s="23">
        <v>0.02819</v>
      </c>
      <c r="F319" s="2">
        <f t="shared" si="17"/>
        <v>0.000108423076923077</v>
      </c>
      <c r="G319" s="23">
        <f t="shared" si="19"/>
        <v>0.00141676667586312</v>
      </c>
    </row>
    <row r="320" spans="1:10">
      <c r="A320" s="26">
        <v>45302</v>
      </c>
      <c r="B320" s="27">
        <v>65289.1</v>
      </c>
      <c r="C320" s="2">
        <f t="shared" si="18"/>
        <v>0.00304805448397392</v>
      </c>
      <c r="D320" s="2">
        <f t="shared" si="20"/>
        <v>0.00304341858383385</v>
      </c>
      <c r="E320" s="23">
        <v>0.02816</v>
      </c>
      <c r="F320" s="2">
        <f t="shared" si="17"/>
        <v>0.000108307692307692</v>
      </c>
      <c r="G320" s="23">
        <f t="shared" si="19"/>
        <v>0.00293511089152616</v>
      </c>
    </row>
    <row r="321" spans="1:10">
      <c r="A321" s="28" t="s">
        <v>208</v>
      </c>
      <c r="B321" s="27">
        <v>65586.8</v>
      </c>
      <c r="C321" s="2">
        <f t="shared" si="18"/>
        <v>0.00455971976945622</v>
      </c>
      <c r="D321" s="2">
        <f t="shared" si="20"/>
        <v>0.00454935574003944</v>
      </c>
      <c r="E321" s="23">
        <v>0.02798</v>
      </c>
      <c r="F321" s="2">
        <f t="shared" si="17"/>
        <v>0.000107615384615385</v>
      </c>
      <c r="G321" s="23">
        <f t="shared" si="19"/>
        <v>0.00444174035542406</v>
      </c>
    </row>
    <row r="322" spans="1:10">
      <c r="A322" s="28" t="s">
        <v>209</v>
      </c>
      <c r="B322" s="27">
        <v>65785.2</v>
      </c>
      <c r="C322" s="2">
        <f t="shared" si="18"/>
        <v>0.00302499893271198</v>
      </c>
      <c r="D322" s="2">
        <f t="shared" si="20"/>
        <v>0.00302043282942808</v>
      </c>
      <c r="E322" s="23">
        <v>0.02792</v>
      </c>
      <c r="F322" s="2">
        <f t="shared" si="17"/>
        <v>0.000107384615384615</v>
      </c>
      <c r="G322" s="23">
        <f t="shared" si="19"/>
        <v>0.00291304821404347</v>
      </c>
    </row>
    <row r="323" spans="1:10">
      <c r="A323" s="28" t="s">
        <v>210</v>
      </c>
      <c r="B323" s="27">
        <v>66479.8</v>
      </c>
      <c r="C323" s="2">
        <f t="shared" si="18"/>
        <v>0.0105586058870385</v>
      </c>
      <c r="D323" s="2">
        <f t="shared" si="20"/>
        <v>0.0105032530991674</v>
      </c>
      <c r="E323" s="23">
        <v>0.02792</v>
      </c>
      <c r="F323" s="2">
        <f t="shared" ref="F323:F386" si="21">E323/260</f>
        <v>0.000107384615384615</v>
      </c>
      <c r="G323" s="23">
        <f t="shared" si="19"/>
        <v>0.0103958684837828</v>
      </c>
      <c r="J323" s="21"/>
    </row>
    <row r="324" spans="1:10">
      <c r="A324" s="28" t="s">
        <v>211</v>
      </c>
      <c r="B324" s="27">
        <v>66678.3</v>
      </c>
      <c r="C324" s="2">
        <f t="shared" ref="C324:C387" si="22">(B324-B323)/B323</f>
        <v>0.00298586939190551</v>
      </c>
      <c r="D324" s="2">
        <f t="shared" si="20"/>
        <v>0.00298142053749163</v>
      </c>
      <c r="E324" s="23">
        <v>0.02789</v>
      </c>
      <c r="F324" s="2">
        <f t="shared" si="21"/>
        <v>0.000107269230769231</v>
      </c>
      <c r="G324" s="23">
        <f t="shared" ref="G324:G387" si="23">D324-F324</f>
        <v>0.0028741513067224</v>
      </c>
      <c r="J324" s="21"/>
    </row>
    <row r="325" spans="1:10">
      <c r="A325" s="28" t="s">
        <v>212</v>
      </c>
      <c r="B325" s="27">
        <v>67472</v>
      </c>
      <c r="C325" s="2">
        <f t="shared" si="22"/>
        <v>0.0119034228527122</v>
      </c>
      <c r="D325" s="2">
        <f t="shared" si="20"/>
        <v>0.0118331343476311</v>
      </c>
      <c r="E325" s="23">
        <v>0.02796</v>
      </c>
      <c r="F325" s="2">
        <f t="shared" si="21"/>
        <v>0.000107538461538462</v>
      </c>
      <c r="G325" s="23">
        <f t="shared" si="23"/>
        <v>0.0117255958860926</v>
      </c>
      <c r="J325" s="21"/>
    </row>
    <row r="326" spans="1:10">
      <c r="A326" s="28" t="s">
        <v>213</v>
      </c>
      <c r="B326" s="27">
        <v>67868.9</v>
      </c>
      <c r="C326" s="2">
        <f t="shared" si="22"/>
        <v>0.00588244012331032</v>
      </c>
      <c r="D326" s="2">
        <f t="shared" si="20"/>
        <v>0.00586520612469122</v>
      </c>
      <c r="E326" s="23">
        <v>0.02798</v>
      </c>
      <c r="F326" s="2">
        <f t="shared" si="21"/>
        <v>0.000107615384615385</v>
      </c>
      <c r="G326" s="23">
        <f t="shared" si="23"/>
        <v>0.00575759074007583</v>
      </c>
      <c r="J326" s="21"/>
    </row>
    <row r="327" spans="1:10">
      <c r="A327" s="28" t="s">
        <v>214</v>
      </c>
      <c r="B327" s="27">
        <v>66777.5</v>
      </c>
      <c r="C327" s="2">
        <f t="shared" si="22"/>
        <v>-0.0160810032282827</v>
      </c>
      <c r="D327" s="2">
        <f t="shared" si="20"/>
        <v>-0.0162117056723357</v>
      </c>
      <c r="E327" s="23">
        <v>0.02799</v>
      </c>
      <c r="F327" s="2">
        <f t="shared" si="21"/>
        <v>0.000107653846153846</v>
      </c>
      <c r="G327" s="23">
        <f t="shared" si="23"/>
        <v>-0.0163193595184896</v>
      </c>
      <c r="J327" s="21"/>
    </row>
    <row r="328" spans="1:10">
      <c r="A328" s="28" t="s">
        <v>215</v>
      </c>
      <c r="B328" s="27">
        <v>66777.5</v>
      </c>
      <c r="C328" s="2">
        <f t="shared" si="22"/>
        <v>0</v>
      </c>
      <c r="D328" s="2">
        <f t="shared" si="20"/>
        <v>0</v>
      </c>
      <c r="E328" s="23">
        <v>0.02786</v>
      </c>
      <c r="F328" s="2">
        <f t="shared" si="21"/>
        <v>0.000107153846153846</v>
      </c>
      <c r="G328" s="23">
        <f t="shared" si="23"/>
        <v>-0.000107153846153846</v>
      </c>
      <c r="J328" s="21"/>
    </row>
    <row r="329" spans="1:10">
      <c r="A329" s="28" t="s">
        <v>216</v>
      </c>
      <c r="B329" s="27">
        <v>66777.5</v>
      </c>
      <c r="C329" s="2">
        <f t="shared" si="22"/>
        <v>0</v>
      </c>
      <c r="D329" s="2">
        <f t="shared" si="20"/>
        <v>0</v>
      </c>
      <c r="E329" s="23">
        <v>0.02766</v>
      </c>
      <c r="F329" s="2">
        <f t="shared" si="21"/>
        <v>0.000106384615384615</v>
      </c>
      <c r="G329" s="23">
        <f t="shared" si="23"/>
        <v>-0.000106384615384615</v>
      </c>
      <c r="J329" s="21"/>
    </row>
    <row r="330" spans="1:10">
      <c r="A330" s="28" t="s">
        <v>217</v>
      </c>
      <c r="B330" s="27">
        <v>66876.7</v>
      </c>
      <c r="C330" s="2">
        <f t="shared" si="22"/>
        <v>0.00148553030586645</v>
      </c>
      <c r="D330" s="2">
        <f t="shared" si="20"/>
        <v>0.00148442799726188</v>
      </c>
      <c r="E330" s="23">
        <v>0.02758</v>
      </c>
      <c r="F330" s="2">
        <f t="shared" si="21"/>
        <v>0.000106076923076923</v>
      </c>
      <c r="G330" s="23">
        <f t="shared" si="23"/>
        <v>0.00137835107418495</v>
      </c>
      <c r="J330" s="21"/>
    </row>
    <row r="331" spans="1:10">
      <c r="A331" s="28" t="s">
        <v>218</v>
      </c>
      <c r="B331" s="27">
        <v>67075.2</v>
      </c>
      <c r="C331" s="2">
        <f t="shared" si="22"/>
        <v>0.00296814884705735</v>
      </c>
      <c r="D331" s="2">
        <f t="shared" si="20"/>
        <v>0.00296375259028297</v>
      </c>
      <c r="E331" s="23">
        <v>0.02756</v>
      </c>
      <c r="F331" s="2">
        <f t="shared" si="21"/>
        <v>0.000106</v>
      </c>
      <c r="G331" s="23">
        <f t="shared" si="23"/>
        <v>0.00285775259028297</v>
      </c>
    </row>
    <row r="332" spans="1:10">
      <c r="A332" s="28" t="s">
        <v>219</v>
      </c>
      <c r="B332" s="27">
        <v>66975.9</v>
      </c>
      <c r="C332" s="2">
        <f t="shared" si="22"/>
        <v>-0.00148042793759844</v>
      </c>
      <c r="D332" s="2">
        <f t="shared" si="20"/>
        <v>-0.00148152485377484</v>
      </c>
      <c r="E332" s="23">
        <v>0.02753</v>
      </c>
      <c r="F332" s="2">
        <f t="shared" si="21"/>
        <v>0.000105884615384615</v>
      </c>
      <c r="G332" s="23">
        <f t="shared" si="23"/>
        <v>-0.00158740946915945</v>
      </c>
    </row>
    <row r="333" spans="1:10">
      <c r="A333" s="28" t="s">
        <v>220</v>
      </c>
      <c r="B333" s="27">
        <v>66281.4</v>
      </c>
      <c r="C333" s="2">
        <f t="shared" si="22"/>
        <v>-0.0103694015309985</v>
      </c>
      <c r="D333" s="2">
        <f t="shared" si="20"/>
        <v>-0.010423538344483</v>
      </c>
      <c r="E333" s="23">
        <v>0.02759</v>
      </c>
      <c r="F333" s="2">
        <f t="shared" si="21"/>
        <v>0.000106115384615385</v>
      </c>
      <c r="G333" s="23">
        <f t="shared" si="23"/>
        <v>-0.0105296537290983</v>
      </c>
    </row>
    <row r="334" spans="1:10">
      <c r="A334" s="28" t="s">
        <v>221</v>
      </c>
      <c r="B334" s="27">
        <v>66678.3</v>
      </c>
      <c r="C334" s="2">
        <f t="shared" si="22"/>
        <v>0.0059881052602994</v>
      </c>
      <c r="D334" s="2">
        <f t="shared" si="20"/>
        <v>0.00597024781072681</v>
      </c>
      <c r="E334" s="23">
        <v>0.0276</v>
      </c>
      <c r="F334" s="2">
        <f t="shared" si="21"/>
        <v>0.000106153846153846</v>
      </c>
      <c r="G334" s="23">
        <f t="shared" si="23"/>
        <v>0.00586409396457296</v>
      </c>
    </row>
    <row r="335" spans="1:10">
      <c r="A335" s="26">
        <v>45606</v>
      </c>
      <c r="B335" s="27">
        <v>67174.4</v>
      </c>
      <c r="C335" s="2">
        <f t="shared" si="22"/>
        <v>0.00744020168480587</v>
      </c>
      <c r="D335" s="2">
        <f t="shared" si="20"/>
        <v>0.00741265991078631</v>
      </c>
      <c r="E335" s="23">
        <v>0.02757</v>
      </c>
      <c r="F335" s="2">
        <f t="shared" si="21"/>
        <v>0.000106038461538462</v>
      </c>
      <c r="G335" s="23">
        <f t="shared" si="23"/>
        <v>0.00730662144924785</v>
      </c>
    </row>
    <row r="336" spans="1:10">
      <c r="A336" s="26">
        <v>45575</v>
      </c>
      <c r="B336" s="27">
        <v>67174.4</v>
      </c>
      <c r="C336" s="2">
        <f t="shared" si="22"/>
        <v>0</v>
      </c>
      <c r="D336" s="2">
        <f t="shared" si="20"/>
        <v>0</v>
      </c>
      <c r="E336" s="23">
        <v>0.02744</v>
      </c>
      <c r="F336" s="2">
        <f t="shared" si="21"/>
        <v>0.000105538461538462</v>
      </c>
      <c r="G336" s="23">
        <f t="shared" si="23"/>
        <v>-0.000105538461538462</v>
      </c>
    </row>
    <row r="337" spans="1:10">
      <c r="A337" s="26">
        <v>45545</v>
      </c>
      <c r="B337" s="27">
        <v>67273.6</v>
      </c>
      <c r="C337" s="2">
        <f t="shared" si="22"/>
        <v>0.00147675304878066</v>
      </c>
      <c r="D337" s="2">
        <f t="shared" si="20"/>
        <v>0.00147566372131039</v>
      </c>
      <c r="E337" s="23">
        <v>0.02759</v>
      </c>
      <c r="F337" s="2">
        <f t="shared" si="21"/>
        <v>0.000106115384615385</v>
      </c>
      <c r="G337" s="23">
        <f t="shared" si="23"/>
        <v>0.00136954833669501</v>
      </c>
    </row>
    <row r="338" spans="1:10">
      <c r="A338" s="26">
        <v>45514</v>
      </c>
      <c r="B338" s="27">
        <v>67670.5</v>
      </c>
      <c r="C338" s="2">
        <f t="shared" si="22"/>
        <v>0.00589978832707026</v>
      </c>
      <c r="D338" s="2">
        <f t="shared" si="20"/>
        <v>0.00588245272674869</v>
      </c>
      <c r="E338" s="23">
        <v>0.02759</v>
      </c>
      <c r="F338" s="2">
        <f t="shared" si="21"/>
        <v>0.000106115384615385</v>
      </c>
      <c r="G338" s="23">
        <f t="shared" si="23"/>
        <v>0.00577633734213331</v>
      </c>
    </row>
    <row r="339" spans="1:10">
      <c r="A339" s="26">
        <v>45483</v>
      </c>
      <c r="B339" s="27">
        <v>66579</v>
      </c>
      <c r="C339" s="2">
        <f t="shared" si="22"/>
        <v>-0.0161296281245151</v>
      </c>
      <c r="D339" s="2">
        <f t="shared" si="20"/>
        <v>-0.0162611265067168</v>
      </c>
      <c r="E339" s="23">
        <v>0.02762</v>
      </c>
      <c r="F339" s="2">
        <f t="shared" si="21"/>
        <v>0.000106230769230769</v>
      </c>
      <c r="G339" s="23">
        <f t="shared" si="23"/>
        <v>-0.0163673572759476</v>
      </c>
    </row>
    <row r="340" spans="1:10">
      <c r="A340" s="26">
        <v>45392</v>
      </c>
      <c r="B340" s="27">
        <v>67968.2</v>
      </c>
      <c r="C340" s="2">
        <f t="shared" si="22"/>
        <v>0.0208654380510371</v>
      </c>
      <c r="D340" s="2">
        <f t="shared" si="20"/>
        <v>0.0206507362275932</v>
      </c>
      <c r="E340" s="23">
        <v>0.02768</v>
      </c>
      <c r="F340" s="2">
        <f t="shared" si="21"/>
        <v>0.000106461538461538</v>
      </c>
      <c r="G340" s="23">
        <f t="shared" si="23"/>
        <v>0.0205442746891317</v>
      </c>
    </row>
    <row r="341" spans="1:10">
      <c r="A341" s="26">
        <v>45361</v>
      </c>
      <c r="B341" s="27">
        <v>69754.2</v>
      </c>
      <c r="C341" s="2">
        <f t="shared" si="22"/>
        <v>0.0262769942414247</v>
      </c>
      <c r="D341" s="2">
        <f t="shared" si="20"/>
        <v>0.02593768520609</v>
      </c>
      <c r="E341" s="23">
        <v>0.02763</v>
      </c>
      <c r="F341" s="2">
        <f t="shared" si="21"/>
        <v>0.000106269230769231</v>
      </c>
      <c r="G341" s="23">
        <f t="shared" si="23"/>
        <v>0.0258314159753208</v>
      </c>
    </row>
    <row r="342" spans="1:10">
      <c r="A342" s="26">
        <v>45332</v>
      </c>
      <c r="B342" s="27">
        <v>69555.7</v>
      </c>
      <c r="C342" s="2">
        <f t="shared" si="22"/>
        <v>-0.00284570678181385</v>
      </c>
      <c r="D342" s="2">
        <f t="shared" si="20"/>
        <v>-0.00284976350334571</v>
      </c>
      <c r="E342" s="23">
        <v>0.02764</v>
      </c>
      <c r="F342" s="2">
        <f t="shared" si="21"/>
        <v>0.000106307692307692</v>
      </c>
      <c r="G342" s="23">
        <f t="shared" si="23"/>
        <v>-0.00295607119565341</v>
      </c>
    </row>
    <row r="343" spans="1:10">
      <c r="A343" s="26">
        <v>45301</v>
      </c>
      <c r="B343" s="27">
        <v>69555.7</v>
      </c>
      <c r="C343" s="2">
        <f t="shared" si="22"/>
        <v>0</v>
      </c>
      <c r="D343" s="2">
        <f t="shared" si="20"/>
        <v>0</v>
      </c>
      <c r="E343" s="23">
        <v>0.02764</v>
      </c>
      <c r="F343" s="2">
        <f t="shared" si="21"/>
        <v>0.000106307692307692</v>
      </c>
      <c r="G343" s="23">
        <f t="shared" si="23"/>
        <v>-0.000106307692307692</v>
      </c>
    </row>
    <row r="344" spans="1:10">
      <c r="A344" s="28" t="s">
        <v>222</v>
      </c>
      <c r="B344" s="27">
        <v>69555.7</v>
      </c>
      <c r="C344" s="2">
        <f t="shared" si="22"/>
        <v>0</v>
      </c>
      <c r="D344" s="2">
        <f t="shared" si="20"/>
        <v>0</v>
      </c>
      <c r="E344" s="23">
        <v>0.02768</v>
      </c>
      <c r="F344" s="2">
        <f t="shared" si="21"/>
        <v>0.000106461538461538</v>
      </c>
      <c r="G344" s="23">
        <f t="shared" si="23"/>
        <v>-0.000106461538461538</v>
      </c>
    </row>
    <row r="345" spans="1:10">
      <c r="A345" s="28" t="s">
        <v>223</v>
      </c>
      <c r="B345" s="27">
        <v>70448.8</v>
      </c>
      <c r="C345" s="2">
        <f t="shared" si="22"/>
        <v>0.012840069181965</v>
      </c>
      <c r="D345" s="2">
        <f t="shared" si="20"/>
        <v>0.0127583344035901</v>
      </c>
      <c r="E345" s="23">
        <v>0.0275</v>
      </c>
      <c r="F345" s="2">
        <f t="shared" si="21"/>
        <v>0.000105769230769231</v>
      </c>
      <c r="G345" s="23">
        <f t="shared" si="23"/>
        <v>0.0126525651728209</v>
      </c>
      <c r="J345" s="21"/>
    </row>
    <row r="346" spans="1:10">
      <c r="A346" s="28" t="s">
        <v>224</v>
      </c>
      <c r="B346" s="27">
        <v>70151.1</v>
      </c>
      <c r="C346" s="2">
        <f t="shared" si="22"/>
        <v>-0.00422576395907378</v>
      </c>
      <c r="D346" s="2">
        <f t="shared" si="20"/>
        <v>-0.00423471773285183</v>
      </c>
      <c r="E346" s="23">
        <v>0.02759</v>
      </c>
      <c r="F346" s="2">
        <f t="shared" si="21"/>
        <v>0.000106115384615385</v>
      </c>
      <c r="G346" s="23">
        <f t="shared" si="23"/>
        <v>-0.00434083311746721</v>
      </c>
      <c r="J346" s="21"/>
    </row>
    <row r="347" spans="1:10">
      <c r="A347" s="28" t="s">
        <v>225</v>
      </c>
      <c r="B347" s="27">
        <v>69059.6</v>
      </c>
      <c r="C347" s="2">
        <f t="shared" si="22"/>
        <v>-0.015559271344284</v>
      </c>
      <c r="D347" s="2">
        <f t="shared" si="20"/>
        <v>-0.0156815872295763</v>
      </c>
      <c r="E347" s="23">
        <v>0.02767</v>
      </c>
      <c r="F347" s="2">
        <f t="shared" si="21"/>
        <v>0.000106423076923077</v>
      </c>
      <c r="G347" s="23">
        <f t="shared" si="23"/>
        <v>-0.0157880103064994</v>
      </c>
      <c r="J347" s="21"/>
    </row>
    <row r="348" spans="1:10">
      <c r="A348" s="28" t="s">
        <v>226</v>
      </c>
      <c r="B348" s="27">
        <v>69754.2</v>
      </c>
      <c r="C348" s="2">
        <f t="shared" si="22"/>
        <v>0.0100579789051774</v>
      </c>
      <c r="D348" s="2">
        <f t="shared" si="20"/>
        <v>0.0100077340621836</v>
      </c>
      <c r="E348" s="23">
        <v>0.0276</v>
      </c>
      <c r="F348" s="2">
        <f t="shared" si="21"/>
        <v>0.000106153846153846</v>
      </c>
      <c r="G348" s="23">
        <f t="shared" si="23"/>
        <v>0.00990158021602974</v>
      </c>
      <c r="J348" s="21"/>
    </row>
    <row r="349" spans="1:10">
      <c r="A349" s="28" t="s">
        <v>227</v>
      </c>
      <c r="B349" s="27">
        <v>69903</v>
      </c>
      <c r="C349" s="2">
        <f t="shared" si="22"/>
        <v>0.0021332048822867</v>
      </c>
      <c r="D349" s="2">
        <f t="shared" si="20"/>
        <v>0.00213093283134476</v>
      </c>
      <c r="E349" s="23">
        <v>0.02767</v>
      </c>
      <c r="F349" s="2">
        <f t="shared" si="21"/>
        <v>0.000106423076923077</v>
      </c>
      <c r="G349" s="23">
        <f t="shared" si="23"/>
        <v>0.00202450975442168</v>
      </c>
      <c r="J349" s="21"/>
    </row>
    <row r="350" spans="1:10">
      <c r="A350" s="28" t="s">
        <v>228</v>
      </c>
      <c r="B350" s="27">
        <v>69711.2</v>
      </c>
      <c r="C350" s="2">
        <f t="shared" si="22"/>
        <v>-0.00274380212580294</v>
      </c>
      <c r="D350" s="2">
        <f t="shared" si="20"/>
        <v>-0.00274757325058209</v>
      </c>
      <c r="E350" s="23">
        <v>0.02771</v>
      </c>
      <c r="F350" s="2">
        <f t="shared" si="21"/>
        <v>0.000106576923076923</v>
      </c>
      <c r="G350" s="23">
        <f t="shared" si="23"/>
        <v>-0.00285415017365901</v>
      </c>
      <c r="J350" s="21"/>
    </row>
    <row r="351" spans="1:10">
      <c r="A351" s="28" t="s">
        <v>229</v>
      </c>
      <c r="B351" s="27">
        <v>70286.5</v>
      </c>
      <c r="C351" s="2">
        <f t="shared" si="22"/>
        <v>0.00825261937823482</v>
      </c>
      <c r="D351" s="2">
        <f t="shared" si="20"/>
        <v>0.00821875271315288</v>
      </c>
      <c r="E351" s="23">
        <v>0.02786</v>
      </c>
      <c r="F351" s="2">
        <f t="shared" si="21"/>
        <v>0.000107153846153846</v>
      </c>
      <c r="G351" s="23">
        <f t="shared" si="23"/>
        <v>0.00811159886699903</v>
      </c>
      <c r="J351" s="21"/>
    </row>
    <row r="352" spans="1:10">
      <c r="A352" s="28" t="s">
        <v>230</v>
      </c>
      <c r="B352" s="27">
        <v>70286.5</v>
      </c>
      <c r="C352" s="2">
        <f t="shared" si="22"/>
        <v>0</v>
      </c>
      <c r="D352" s="2">
        <f t="shared" si="20"/>
        <v>0</v>
      </c>
      <c r="E352" s="23">
        <v>0.02801</v>
      </c>
      <c r="F352" s="2">
        <f t="shared" si="21"/>
        <v>0.000107730769230769</v>
      </c>
      <c r="G352" s="23">
        <f t="shared" si="23"/>
        <v>-0.000107730769230769</v>
      </c>
      <c r="J352" s="21"/>
    </row>
    <row r="353" spans="1:10">
      <c r="A353" s="28" t="s">
        <v>231</v>
      </c>
      <c r="B353" s="27">
        <v>70382.4</v>
      </c>
      <c r="C353" s="2">
        <f t="shared" si="22"/>
        <v>0.00136441564169498</v>
      </c>
      <c r="D353" s="2">
        <f t="shared" ref="D353:D416" si="24">LN(B353/B352)</f>
        <v>0.00136348567248691</v>
      </c>
      <c r="E353" s="23">
        <v>0.02783</v>
      </c>
      <c r="F353" s="2">
        <f t="shared" si="21"/>
        <v>0.000107038461538462</v>
      </c>
      <c r="G353" s="23">
        <f t="shared" si="23"/>
        <v>0.00125644721094845</v>
      </c>
      <c r="J353" s="21"/>
    </row>
    <row r="354" spans="1:10">
      <c r="A354" s="28" t="s">
        <v>232</v>
      </c>
      <c r="B354" s="27">
        <v>68944.1</v>
      </c>
      <c r="C354" s="2">
        <f t="shared" si="22"/>
        <v>-0.0204355066039235</v>
      </c>
      <c r="D354" s="2">
        <f t="shared" si="24"/>
        <v>-0.0206472005838158</v>
      </c>
      <c r="E354" s="23">
        <v>0.02799</v>
      </c>
      <c r="F354" s="2">
        <f t="shared" si="21"/>
        <v>0.000107653846153846</v>
      </c>
      <c r="G354" s="23">
        <f t="shared" si="23"/>
        <v>-0.0207548544299696</v>
      </c>
    </row>
    <row r="355" spans="1:10">
      <c r="A355" s="28" t="s">
        <v>233</v>
      </c>
      <c r="B355" s="27">
        <v>69903</v>
      </c>
      <c r="C355" s="2">
        <f t="shared" si="22"/>
        <v>0.0139083692440687</v>
      </c>
      <c r="D355" s="2">
        <f t="shared" si="24"/>
        <v>0.0138125354487581</v>
      </c>
      <c r="E355" s="23">
        <v>0.02802</v>
      </c>
      <c r="F355" s="2">
        <f t="shared" si="21"/>
        <v>0.000107769230769231</v>
      </c>
      <c r="G355" s="23">
        <f t="shared" si="23"/>
        <v>0.0137047662179889</v>
      </c>
    </row>
    <row r="356" spans="1:10">
      <c r="A356" s="26">
        <v>45635</v>
      </c>
      <c r="B356" s="27">
        <v>71629</v>
      </c>
      <c r="C356" s="2">
        <f t="shared" si="22"/>
        <v>0.0246913580246914</v>
      </c>
      <c r="D356" s="2">
        <f t="shared" si="24"/>
        <v>0.0243914531241593</v>
      </c>
      <c r="E356" s="23">
        <v>0.02801</v>
      </c>
      <c r="F356" s="2">
        <f t="shared" si="21"/>
        <v>0.000107730769230769</v>
      </c>
      <c r="G356" s="23">
        <f t="shared" si="23"/>
        <v>0.0242837223549285</v>
      </c>
    </row>
    <row r="357" spans="1:10">
      <c r="A357" s="26">
        <v>45605</v>
      </c>
      <c r="B357" s="27">
        <v>71533.1</v>
      </c>
      <c r="C357" s="2">
        <f t="shared" si="22"/>
        <v>-0.00133884320596398</v>
      </c>
      <c r="D357" s="2">
        <f t="shared" si="24"/>
        <v>-0.00133974025729253</v>
      </c>
      <c r="E357" s="23">
        <v>0.02809</v>
      </c>
      <c r="F357" s="2">
        <f t="shared" si="21"/>
        <v>0.000108038461538462</v>
      </c>
      <c r="G357" s="23">
        <f t="shared" si="23"/>
        <v>-0.00144777871883099</v>
      </c>
    </row>
    <row r="358" spans="1:10">
      <c r="A358" s="26">
        <v>45574</v>
      </c>
      <c r="B358" s="27">
        <v>71820.8</v>
      </c>
      <c r="C358" s="2">
        <f t="shared" si="22"/>
        <v>0.00402191433056861</v>
      </c>
      <c r="D358" s="2">
        <f t="shared" si="24"/>
        <v>0.00401384805381019</v>
      </c>
      <c r="E358" s="23">
        <v>0.02808</v>
      </c>
      <c r="F358" s="2">
        <f t="shared" si="21"/>
        <v>0.000108</v>
      </c>
      <c r="G358" s="23">
        <f t="shared" si="23"/>
        <v>0.00390584805381019</v>
      </c>
    </row>
    <row r="359" spans="1:10">
      <c r="A359" s="26">
        <v>45544</v>
      </c>
      <c r="B359" s="27">
        <v>71724.9</v>
      </c>
      <c r="C359" s="2">
        <f t="shared" si="22"/>
        <v>-0.00133526777757988</v>
      </c>
      <c r="D359" s="2">
        <f t="shared" si="24"/>
        <v>-0.00133616004196181</v>
      </c>
      <c r="E359" s="23">
        <v>0.02808</v>
      </c>
      <c r="F359" s="2">
        <f t="shared" si="21"/>
        <v>0.000108</v>
      </c>
      <c r="G359" s="23">
        <f t="shared" si="23"/>
        <v>-0.00144416004196181</v>
      </c>
    </row>
    <row r="360" spans="1:10">
      <c r="A360" s="26">
        <v>45452</v>
      </c>
      <c r="B360" s="27">
        <v>72300.2</v>
      </c>
      <c r="C360" s="2">
        <f t="shared" si="22"/>
        <v>0.00802092439306298</v>
      </c>
      <c r="D360" s="2">
        <f t="shared" si="24"/>
        <v>0.00798892776017709</v>
      </c>
      <c r="E360" s="23">
        <v>0.02827</v>
      </c>
      <c r="F360" s="2">
        <f t="shared" si="21"/>
        <v>0.000108730769230769</v>
      </c>
      <c r="G360" s="23">
        <f t="shared" si="23"/>
        <v>0.00788019699094632</v>
      </c>
    </row>
    <row r="361" spans="1:10">
      <c r="A361" s="26">
        <v>45421</v>
      </c>
      <c r="B361" s="27">
        <v>71629</v>
      </c>
      <c r="C361" s="2">
        <f t="shared" si="22"/>
        <v>-0.00928351512167321</v>
      </c>
      <c r="D361" s="2">
        <f t="shared" si="24"/>
        <v>-0.00932687551473303</v>
      </c>
      <c r="E361" s="23">
        <v>0.02836</v>
      </c>
      <c r="F361" s="2">
        <f t="shared" si="21"/>
        <v>0.000109076923076923</v>
      </c>
      <c r="G361" s="23">
        <f t="shared" si="23"/>
        <v>-0.00943595243780995</v>
      </c>
    </row>
    <row r="362" spans="1:10">
      <c r="A362" s="26">
        <v>45391</v>
      </c>
      <c r="B362" s="27">
        <v>71245.4</v>
      </c>
      <c r="C362" s="2">
        <f t="shared" si="22"/>
        <v>-0.00535537282385634</v>
      </c>
      <c r="D362" s="2">
        <f t="shared" si="24"/>
        <v>-0.00536976423681488</v>
      </c>
      <c r="E362" s="23">
        <v>0.02826</v>
      </c>
      <c r="F362" s="2">
        <f t="shared" si="21"/>
        <v>0.000108692307692308</v>
      </c>
      <c r="G362" s="23">
        <f t="shared" si="23"/>
        <v>-0.00547845654450719</v>
      </c>
    </row>
    <row r="363" spans="1:10">
      <c r="A363" s="28" t="s">
        <v>234</v>
      </c>
      <c r="B363" s="27">
        <v>70861.9</v>
      </c>
      <c r="C363" s="2">
        <f t="shared" si="22"/>
        <v>-0.00538280366171009</v>
      </c>
      <c r="D363" s="2">
        <f t="shared" si="24"/>
        <v>-0.00539734314827964</v>
      </c>
      <c r="E363" s="23">
        <v>0.0283</v>
      </c>
      <c r="F363" s="2">
        <f t="shared" si="21"/>
        <v>0.000108846153846154</v>
      </c>
      <c r="G363" s="23">
        <f t="shared" si="23"/>
        <v>-0.00550618930212579</v>
      </c>
    </row>
    <row r="364" spans="1:10">
      <c r="A364" s="28" t="s">
        <v>235</v>
      </c>
      <c r="B364" s="27">
        <v>70478.3</v>
      </c>
      <c r="C364" s="2">
        <f t="shared" si="22"/>
        <v>-0.00541334624106877</v>
      </c>
      <c r="D364" s="2">
        <f t="shared" si="24"/>
        <v>-0.00542805149359041</v>
      </c>
      <c r="E364" s="23">
        <v>0.02823</v>
      </c>
      <c r="F364" s="2">
        <f t="shared" si="21"/>
        <v>0.000108576923076923</v>
      </c>
      <c r="G364" s="23">
        <f t="shared" si="23"/>
        <v>-0.00553662841666733</v>
      </c>
    </row>
    <row r="365" spans="1:10">
      <c r="A365" s="28" t="s">
        <v>236</v>
      </c>
      <c r="B365" s="27">
        <v>70861.9</v>
      </c>
      <c r="C365" s="2">
        <f t="shared" si="22"/>
        <v>0.00544281005642859</v>
      </c>
      <c r="D365" s="2">
        <f t="shared" si="24"/>
        <v>0.00542805149359032</v>
      </c>
      <c r="E365" s="23">
        <v>0.02829</v>
      </c>
      <c r="F365" s="2">
        <f t="shared" si="21"/>
        <v>0.000108807692307692</v>
      </c>
      <c r="G365" s="23">
        <f t="shared" si="23"/>
        <v>0.00531924380128263</v>
      </c>
    </row>
    <row r="366" spans="1:10">
      <c r="A366" s="28" t="s">
        <v>237</v>
      </c>
      <c r="B366" s="27">
        <v>70478.3</v>
      </c>
      <c r="C366" s="2">
        <f t="shared" si="22"/>
        <v>-0.00541334624106877</v>
      </c>
      <c r="D366" s="2">
        <f t="shared" si="24"/>
        <v>-0.00542805149359041</v>
      </c>
      <c r="E366" s="23">
        <v>0.02821</v>
      </c>
      <c r="F366" s="2">
        <f t="shared" si="21"/>
        <v>0.0001085</v>
      </c>
      <c r="G366" s="23">
        <f t="shared" si="23"/>
        <v>-0.00553655149359041</v>
      </c>
      <c r="J366" s="21"/>
    </row>
    <row r="367" spans="1:10">
      <c r="A367" s="28" t="s">
        <v>238</v>
      </c>
      <c r="B367" s="27">
        <v>70382.4</v>
      </c>
      <c r="C367" s="2">
        <f t="shared" si="22"/>
        <v>-0.0013607025141073</v>
      </c>
      <c r="D367" s="2">
        <f t="shared" si="24"/>
        <v>-0.00136162911041653</v>
      </c>
      <c r="E367" s="23">
        <v>0.02815</v>
      </c>
      <c r="F367" s="2">
        <f t="shared" si="21"/>
        <v>0.000108269230769231</v>
      </c>
      <c r="G367" s="23">
        <f t="shared" si="23"/>
        <v>-0.00146989834118576</v>
      </c>
      <c r="J367" s="21"/>
    </row>
    <row r="368" spans="1:10">
      <c r="A368" s="28" t="s">
        <v>239</v>
      </c>
      <c r="B368" s="27">
        <v>71820.8</v>
      </c>
      <c r="C368" s="2">
        <f t="shared" si="22"/>
        <v>0.0204369274136717</v>
      </c>
      <c r="D368" s="2">
        <f t="shared" si="24"/>
        <v>0.0202308957856192</v>
      </c>
      <c r="E368" s="23">
        <v>0.02824</v>
      </c>
      <c r="F368" s="2">
        <f t="shared" si="21"/>
        <v>0.000108615384615385</v>
      </c>
      <c r="G368" s="23">
        <f t="shared" si="23"/>
        <v>0.0201222804010038</v>
      </c>
      <c r="J368" s="21"/>
    </row>
    <row r="369" spans="1:10">
      <c r="A369" s="28" t="s">
        <v>240</v>
      </c>
      <c r="B369" s="27">
        <v>71149.5</v>
      </c>
      <c r="C369" s="2">
        <f t="shared" si="22"/>
        <v>-0.00934687444305832</v>
      </c>
      <c r="D369" s="2">
        <f t="shared" si="24"/>
        <v>-0.00939083059012434</v>
      </c>
      <c r="E369" s="23">
        <v>0.02813</v>
      </c>
      <c r="F369" s="2">
        <f t="shared" si="21"/>
        <v>0.000108192307692308</v>
      </c>
      <c r="G369" s="23">
        <f t="shared" si="23"/>
        <v>-0.00949902289781665</v>
      </c>
      <c r="J369" s="21"/>
    </row>
    <row r="370" spans="1:10">
      <c r="A370" s="28" t="s">
        <v>241</v>
      </c>
      <c r="B370" s="27">
        <v>72204.3</v>
      </c>
      <c r="C370" s="2">
        <f t="shared" si="22"/>
        <v>0.0148251217506799</v>
      </c>
      <c r="D370" s="2">
        <f t="shared" si="24"/>
        <v>0.0147163038077669</v>
      </c>
      <c r="E370" s="23">
        <v>0.02828</v>
      </c>
      <c r="F370" s="2">
        <f t="shared" si="21"/>
        <v>0.000108769230769231</v>
      </c>
      <c r="G370" s="23">
        <f t="shared" si="23"/>
        <v>0.0146075345769977</v>
      </c>
      <c r="J370" s="21"/>
    </row>
    <row r="371" spans="1:10">
      <c r="A371" s="28" t="s">
        <v>242</v>
      </c>
      <c r="B371" s="27">
        <v>72492</v>
      </c>
      <c r="C371" s="2">
        <f t="shared" si="22"/>
        <v>0.00398452723729746</v>
      </c>
      <c r="D371" s="2">
        <f t="shared" si="24"/>
        <v>0.00397661003255523</v>
      </c>
      <c r="E371" s="23">
        <v>0.02832</v>
      </c>
      <c r="F371" s="2">
        <f t="shared" si="21"/>
        <v>0.000108923076923077</v>
      </c>
      <c r="G371" s="23">
        <f t="shared" si="23"/>
        <v>0.00386768695563216</v>
      </c>
      <c r="J371" s="21"/>
    </row>
    <row r="372" spans="1:10">
      <c r="A372" s="28" t="s">
        <v>243</v>
      </c>
      <c r="B372" s="27">
        <v>72875.5</v>
      </c>
      <c r="C372" s="2">
        <f t="shared" si="22"/>
        <v>0.00529023892291563</v>
      </c>
      <c r="D372" s="2">
        <f t="shared" si="24"/>
        <v>0.00527629476597985</v>
      </c>
      <c r="E372" s="23">
        <v>0.02843</v>
      </c>
      <c r="F372" s="2">
        <f t="shared" si="21"/>
        <v>0.000109346153846154</v>
      </c>
      <c r="G372" s="23">
        <f t="shared" si="23"/>
        <v>0.0051669486121337</v>
      </c>
      <c r="J372" s="21"/>
    </row>
    <row r="373" spans="1:10">
      <c r="A373" s="28" t="s">
        <v>244</v>
      </c>
      <c r="B373" s="27">
        <v>70766</v>
      </c>
      <c r="C373" s="2">
        <f t="shared" si="22"/>
        <v>-0.0289466281534947</v>
      </c>
      <c r="D373" s="2">
        <f t="shared" si="24"/>
        <v>-0.0293738463450403</v>
      </c>
      <c r="E373" s="23">
        <v>0.02838</v>
      </c>
      <c r="F373" s="2">
        <f t="shared" si="21"/>
        <v>0.000109153846153846</v>
      </c>
      <c r="G373" s="23">
        <f t="shared" si="23"/>
        <v>-0.0294830001911942</v>
      </c>
    </row>
    <row r="374" spans="1:10">
      <c r="A374" s="28" t="s">
        <v>245</v>
      </c>
      <c r="B374" s="27">
        <v>70766</v>
      </c>
      <c r="C374" s="2">
        <f t="shared" si="22"/>
        <v>0</v>
      </c>
      <c r="D374" s="2">
        <f t="shared" si="24"/>
        <v>0</v>
      </c>
      <c r="E374" s="23">
        <v>0.02845</v>
      </c>
      <c r="F374" s="2">
        <f t="shared" si="21"/>
        <v>0.000109423076923077</v>
      </c>
      <c r="G374" s="23">
        <f t="shared" si="23"/>
        <v>-0.000109423076923077</v>
      </c>
    </row>
    <row r="375" spans="1:10">
      <c r="A375" s="28" t="s">
        <v>246</v>
      </c>
      <c r="B375" s="27">
        <v>70957.8</v>
      </c>
      <c r="C375" s="2">
        <f t="shared" si="22"/>
        <v>0.00271034112426876</v>
      </c>
      <c r="D375" s="2">
        <f t="shared" si="24"/>
        <v>0.00270667477297821</v>
      </c>
      <c r="E375" s="23">
        <v>0.02843</v>
      </c>
      <c r="F375" s="2">
        <f t="shared" si="21"/>
        <v>0.000109346153846154</v>
      </c>
      <c r="G375" s="23">
        <f t="shared" si="23"/>
        <v>0.00259732861913206</v>
      </c>
    </row>
    <row r="376" spans="1:10">
      <c r="A376" s="28" t="s">
        <v>247</v>
      </c>
      <c r="B376" s="27">
        <v>70766</v>
      </c>
      <c r="C376" s="2">
        <f t="shared" si="22"/>
        <v>-0.00270301503146945</v>
      </c>
      <c r="D376" s="2">
        <f t="shared" si="24"/>
        <v>-0.00270667477297811</v>
      </c>
      <c r="E376" s="23">
        <v>0.02849</v>
      </c>
      <c r="F376" s="2">
        <f t="shared" si="21"/>
        <v>0.000109576923076923</v>
      </c>
      <c r="G376" s="23">
        <f t="shared" si="23"/>
        <v>-0.00281625169605504</v>
      </c>
    </row>
    <row r="377" spans="1:10">
      <c r="A377" s="26">
        <v>45634</v>
      </c>
      <c r="B377" s="27">
        <v>69998.9</v>
      </c>
      <c r="C377" s="2">
        <f t="shared" si="22"/>
        <v>-0.0108399513890852</v>
      </c>
      <c r="D377" s="2">
        <f t="shared" si="24"/>
        <v>-0.0108991317253701</v>
      </c>
      <c r="E377" s="23">
        <v>0.02853</v>
      </c>
      <c r="F377" s="2">
        <f t="shared" si="21"/>
        <v>0.000109730769230769</v>
      </c>
      <c r="G377" s="23">
        <f t="shared" si="23"/>
        <v>-0.0110088624946008</v>
      </c>
    </row>
    <row r="378" spans="1:10">
      <c r="A378" s="26">
        <v>45543</v>
      </c>
      <c r="B378" s="27">
        <v>70286.5</v>
      </c>
      <c r="C378" s="2">
        <f t="shared" si="22"/>
        <v>0.0041086359928514</v>
      </c>
      <c r="D378" s="2">
        <f t="shared" si="24"/>
        <v>0.00410021859612657</v>
      </c>
      <c r="E378" s="23">
        <v>0.02868</v>
      </c>
      <c r="F378" s="2">
        <f t="shared" si="21"/>
        <v>0.000110307692307692</v>
      </c>
      <c r="G378" s="23">
        <f t="shared" si="23"/>
        <v>0.00398991090381888</v>
      </c>
    </row>
    <row r="379" spans="1:10">
      <c r="A379" s="26">
        <v>45512</v>
      </c>
      <c r="B379" s="27">
        <v>69711.2</v>
      </c>
      <c r="C379" s="2">
        <f t="shared" si="22"/>
        <v>-0.00818507110184748</v>
      </c>
      <c r="D379" s="2">
        <f t="shared" si="24"/>
        <v>-0.00821875271315288</v>
      </c>
      <c r="E379" s="23">
        <v>0.02853</v>
      </c>
      <c r="F379" s="2">
        <f t="shared" si="21"/>
        <v>0.000109730769230769</v>
      </c>
      <c r="G379" s="23">
        <f t="shared" si="23"/>
        <v>-0.00832848348238365</v>
      </c>
    </row>
    <row r="380" spans="1:10">
      <c r="A380" s="26">
        <v>45481</v>
      </c>
      <c r="B380" s="27">
        <v>70766</v>
      </c>
      <c r="C380" s="2">
        <f t="shared" si="22"/>
        <v>0.0151309976015332</v>
      </c>
      <c r="D380" s="2">
        <f t="shared" si="24"/>
        <v>0.0150176658423965</v>
      </c>
      <c r="E380" s="23">
        <v>0.02862</v>
      </c>
      <c r="F380" s="2">
        <f t="shared" si="21"/>
        <v>0.000110076923076923</v>
      </c>
      <c r="G380" s="23">
        <f t="shared" si="23"/>
        <v>0.0149075889193195</v>
      </c>
    </row>
    <row r="381" spans="1:10">
      <c r="A381" s="26">
        <v>45451</v>
      </c>
      <c r="B381" s="27">
        <v>69711.2</v>
      </c>
      <c r="C381" s="2">
        <f t="shared" si="22"/>
        <v>-0.0149054630754883</v>
      </c>
      <c r="D381" s="2">
        <f t="shared" si="24"/>
        <v>-0.0150176658423964</v>
      </c>
      <c r="E381" s="23">
        <v>0.02868</v>
      </c>
      <c r="F381" s="2">
        <f t="shared" si="21"/>
        <v>0.000110307692307692</v>
      </c>
      <c r="G381" s="23">
        <f t="shared" si="23"/>
        <v>-0.0151279735347041</v>
      </c>
    </row>
    <row r="382" spans="1:10">
      <c r="A382" s="26">
        <v>45420</v>
      </c>
      <c r="B382" s="27">
        <v>66546.9</v>
      </c>
      <c r="C382" s="2">
        <f t="shared" si="22"/>
        <v>-0.0453915583148763</v>
      </c>
      <c r="D382" s="2">
        <f t="shared" si="24"/>
        <v>-0.0464540312846355</v>
      </c>
      <c r="E382" s="23">
        <v>0.02892</v>
      </c>
      <c r="F382" s="2">
        <f t="shared" si="21"/>
        <v>0.000111230769230769</v>
      </c>
      <c r="G382" s="23">
        <f t="shared" si="23"/>
        <v>-0.0465652620538663</v>
      </c>
    </row>
    <row r="383" spans="1:10">
      <c r="A383" s="26">
        <v>45330</v>
      </c>
      <c r="B383" s="27">
        <v>68560.5</v>
      </c>
      <c r="C383" s="2">
        <f t="shared" si="22"/>
        <v>0.030258359142199</v>
      </c>
      <c r="D383" s="2">
        <f t="shared" si="24"/>
        <v>0.0298096049065663</v>
      </c>
      <c r="E383" s="23">
        <v>0.02899</v>
      </c>
      <c r="F383" s="2">
        <f t="shared" si="21"/>
        <v>0.0001115</v>
      </c>
      <c r="G383" s="23">
        <f t="shared" si="23"/>
        <v>0.0296981049065663</v>
      </c>
    </row>
    <row r="384" spans="1:10">
      <c r="A384" s="26">
        <v>45299</v>
      </c>
      <c r="B384" s="27">
        <v>67409.9</v>
      </c>
      <c r="C384" s="2">
        <f t="shared" si="22"/>
        <v>-0.0167822580057031</v>
      </c>
      <c r="D384" s="2">
        <f t="shared" si="24"/>
        <v>-0.0169246757402588</v>
      </c>
      <c r="E384" s="23">
        <v>0.0288</v>
      </c>
      <c r="F384" s="2">
        <f t="shared" si="21"/>
        <v>0.000110769230769231</v>
      </c>
      <c r="G384" s="23">
        <f t="shared" si="23"/>
        <v>-0.017035444971028</v>
      </c>
    </row>
    <row r="385" spans="1:10">
      <c r="A385" s="28" t="s">
        <v>248</v>
      </c>
      <c r="B385" s="27">
        <v>68656.4</v>
      </c>
      <c r="C385" s="2">
        <f t="shared" si="22"/>
        <v>0.0184913491935161</v>
      </c>
      <c r="D385" s="2">
        <f t="shared" si="24"/>
        <v>0.0183224629751283</v>
      </c>
      <c r="E385" s="23">
        <v>0.02893</v>
      </c>
      <c r="F385" s="2">
        <f t="shared" si="21"/>
        <v>0.000111269230769231</v>
      </c>
      <c r="G385" s="23">
        <f t="shared" si="23"/>
        <v>0.0182111937443591</v>
      </c>
    </row>
    <row r="386" spans="1:10">
      <c r="A386" s="28" t="s">
        <v>249</v>
      </c>
      <c r="B386" s="27">
        <v>64916.8</v>
      </c>
      <c r="C386" s="2">
        <f t="shared" si="22"/>
        <v>-0.0544683379845141</v>
      </c>
      <c r="D386" s="2">
        <f t="shared" si="24"/>
        <v>-0.0560079043840333</v>
      </c>
      <c r="E386" s="23">
        <v>0.02895</v>
      </c>
      <c r="F386" s="2">
        <f t="shared" si="21"/>
        <v>0.000111346153846154</v>
      </c>
      <c r="G386" s="23">
        <f t="shared" si="23"/>
        <v>-0.0561192505378795</v>
      </c>
    </row>
    <row r="387" spans="1:10">
      <c r="A387" s="28" t="s">
        <v>250</v>
      </c>
      <c r="B387" s="27">
        <v>64437.3</v>
      </c>
      <c r="C387" s="2">
        <f t="shared" si="22"/>
        <v>-0.00738637764030266</v>
      </c>
      <c r="D387" s="2">
        <f t="shared" si="24"/>
        <v>-0.00741379200628797</v>
      </c>
      <c r="E387" s="23">
        <v>0.02903</v>
      </c>
      <c r="F387" s="2">
        <f t="shared" ref="F387:F450" si="25">E387/260</f>
        <v>0.000111653846153846</v>
      </c>
      <c r="G387" s="23">
        <f t="shared" si="23"/>
        <v>-0.00752544585244181</v>
      </c>
      <c r="J387" s="21"/>
    </row>
    <row r="388" spans="1:10">
      <c r="A388" s="28" t="s">
        <v>251</v>
      </c>
      <c r="B388" s="27">
        <v>63094.9</v>
      </c>
      <c r="C388" s="2">
        <f t="shared" ref="C388:C451" si="26">(B388-B387)/B387</f>
        <v>-0.0208326543787527</v>
      </c>
      <c r="D388" s="2">
        <f t="shared" si="24"/>
        <v>-0.02105271579765</v>
      </c>
      <c r="E388" s="23">
        <v>0.02897</v>
      </c>
      <c r="F388" s="2">
        <f t="shared" si="25"/>
        <v>0.000111423076923077</v>
      </c>
      <c r="G388" s="23">
        <f t="shared" ref="G388:G451" si="27">D388-F388</f>
        <v>-0.021164138874573</v>
      </c>
      <c r="J388" s="21"/>
    </row>
    <row r="389" spans="1:10">
      <c r="A389" s="28" t="s">
        <v>252</v>
      </c>
      <c r="B389" s="27">
        <v>62903.1</v>
      </c>
      <c r="C389" s="2">
        <f t="shared" si="26"/>
        <v>-0.0030398653456936</v>
      </c>
      <c r="D389" s="2">
        <f t="shared" si="24"/>
        <v>-0.00304449512133056</v>
      </c>
      <c r="E389" s="23">
        <v>0.02881</v>
      </c>
      <c r="F389" s="2">
        <f t="shared" si="25"/>
        <v>0.000110807692307692</v>
      </c>
      <c r="G389" s="23">
        <f t="shared" si="27"/>
        <v>-0.00315530281363825</v>
      </c>
      <c r="J389" s="21"/>
    </row>
    <row r="390" spans="1:10">
      <c r="A390" s="28" t="s">
        <v>253</v>
      </c>
      <c r="B390" s="27">
        <v>62903.1</v>
      </c>
      <c r="C390" s="2">
        <f t="shared" si="26"/>
        <v>0</v>
      </c>
      <c r="D390" s="2">
        <f t="shared" si="24"/>
        <v>0</v>
      </c>
      <c r="E390" s="23">
        <v>0.02908</v>
      </c>
      <c r="F390" s="2">
        <f t="shared" si="25"/>
        <v>0.000111846153846154</v>
      </c>
      <c r="G390" s="23">
        <f t="shared" si="27"/>
        <v>-0.000111846153846154</v>
      </c>
      <c r="J390" s="21"/>
    </row>
    <row r="391" spans="1:10">
      <c r="A391" s="28" t="s">
        <v>254</v>
      </c>
      <c r="B391" s="27">
        <v>63190.8</v>
      </c>
      <c r="C391" s="2">
        <f t="shared" si="26"/>
        <v>0.00457370145509529</v>
      </c>
      <c r="D391" s="2">
        <f t="shared" si="24"/>
        <v>0.00456327386562688</v>
      </c>
      <c r="E391" s="23">
        <v>0.02899</v>
      </c>
      <c r="F391" s="2">
        <f t="shared" si="25"/>
        <v>0.0001115</v>
      </c>
      <c r="G391" s="23">
        <f t="shared" si="27"/>
        <v>0.00445177386562688</v>
      </c>
      <c r="J391" s="21"/>
    </row>
    <row r="392" spans="1:10">
      <c r="A392" s="28" t="s">
        <v>255</v>
      </c>
      <c r="B392" s="27">
        <v>62711.3</v>
      </c>
      <c r="C392" s="2">
        <f t="shared" si="26"/>
        <v>-0.00758812991764624</v>
      </c>
      <c r="D392" s="2">
        <f t="shared" si="24"/>
        <v>-0.00761706625017694</v>
      </c>
      <c r="E392" s="23">
        <v>0.02903</v>
      </c>
      <c r="F392" s="2">
        <f t="shared" si="25"/>
        <v>0.000111653846153846</v>
      </c>
      <c r="G392" s="23">
        <f t="shared" si="27"/>
        <v>-0.00772872009633078</v>
      </c>
      <c r="J392" s="21"/>
    </row>
    <row r="393" spans="1:10">
      <c r="A393" s="28" t="s">
        <v>256</v>
      </c>
      <c r="B393" s="27">
        <v>62615.4</v>
      </c>
      <c r="C393" s="2">
        <f t="shared" si="26"/>
        <v>-0.00152922997928605</v>
      </c>
      <c r="D393" s="2">
        <f t="shared" si="24"/>
        <v>-0.00153040044487707</v>
      </c>
      <c r="E393" s="23">
        <v>0.02895</v>
      </c>
      <c r="F393" s="2">
        <f t="shared" si="25"/>
        <v>0.000111346153846154</v>
      </c>
      <c r="G393" s="23">
        <f t="shared" si="27"/>
        <v>-0.00164174659872323</v>
      </c>
      <c r="J393" s="21"/>
    </row>
    <row r="394" spans="1:10">
      <c r="A394" s="28" t="s">
        <v>257</v>
      </c>
      <c r="B394" s="27">
        <v>63190.8</v>
      </c>
      <c r="C394" s="2">
        <f t="shared" si="26"/>
        <v>0.00918943263158906</v>
      </c>
      <c r="D394" s="2">
        <f t="shared" si="24"/>
        <v>0.00914746669505406</v>
      </c>
      <c r="E394" s="23">
        <v>0.02904</v>
      </c>
      <c r="F394" s="2">
        <f t="shared" si="25"/>
        <v>0.000111692307692308</v>
      </c>
      <c r="G394" s="23">
        <f t="shared" si="27"/>
        <v>0.00903577438736175</v>
      </c>
      <c r="J394" s="21"/>
    </row>
    <row r="395" spans="1:10">
      <c r="A395" s="28" t="s">
        <v>258</v>
      </c>
      <c r="B395" s="27">
        <v>62999</v>
      </c>
      <c r="C395" s="2">
        <f t="shared" si="26"/>
        <v>-0.00303525196705854</v>
      </c>
      <c r="D395" s="2">
        <f t="shared" si="24"/>
        <v>-0.0030398676865911</v>
      </c>
      <c r="E395" s="23">
        <v>0.02902</v>
      </c>
      <c r="F395" s="2">
        <f t="shared" si="25"/>
        <v>0.000111615384615385</v>
      </c>
      <c r="G395" s="23">
        <f t="shared" si="27"/>
        <v>-0.00315148307120649</v>
      </c>
    </row>
    <row r="396" spans="1:10">
      <c r="A396" s="28" t="s">
        <v>259</v>
      </c>
      <c r="B396" s="27">
        <v>63382.5</v>
      </c>
      <c r="C396" s="2">
        <f t="shared" si="26"/>
        <v>0.00608739821267004</v>
      </c>
      <c r="D396" s="2">
        <f t="shared" si="24"/>
        <v>0.00606894485492806</v>
      </c>
      <c r="E396" s="23">
        <v>0.02899</v>
      </c>
      <c r="F396" s="2">
        <f t="shared" si="25"/>
        <v>0.0001115</v>
      </c>
      <c r="G396" s="23">
        <f t="shared" si="27"/>
        <v>0.00595744485492806</v>
      </c>
    </row>
    <row r="397" spans="1:10">
      <c r="A397" s="28" t="s">
        <v>260</v>
      </c>
      <c r="B397" s="27">
        <v>63478.4</v>
      </c>
      <c r="C397" s="2">
        <f t="shared" si="26"/>
        <v>0.00151303593263127</v>
      </c>
      <c r="D397" s="2">
        <f t="shared" si="24"/>
        <v>0.00151189244704235</v>
      </c>
      <c r="E397" s="23">
        <v>0.02901</v>
      </c>
      <c r="F397" s="2">
        <f t="shared" si="25"/>
        <v>0.000111576923076923</v>
      </c>
      <c r="G397" s="23">
        <f t="shared" si="27"/>
        <v>0.00140031552396543</v>
      </c>
    </row>
    <row r="398" spans="1:10">
      <c r="A398" s="26">
        <v>45633</v>
      </c>
      <c r="B398" s="27">
        <v>63574.3</v>
      </c>
      <c r="C398" s="2">
        <f t="shared" si="26"/>
        <v>0.00151075011342443</v>
      </c>
      <c r="D398" s="2">
        <f t="shared" si="24"/>
        <v>0.00150961007853257</v>
      </c>
      <c r="E398" s="23">
        <v>0.02894</v>
      </c>
      <c r="F398" s="2">
        <f t="shared" si="25"/>
        <v>0.000111307692307692</v>
      </c>
      <c r="G398" s="23">
        <f t="shared" si="27"/>
        <v>0.00139830238622488</v>
      </c>
    </row>
    <row r="399" spans="1:10">
      <c r="A399" s="26">
        <v>45603</v>
      </c>
      <c r="B399" s="27">
        <v>63574.3</v>
      </c>
      <c r="C399" s="2">
        <f t="shared" si="26"/>
        <v>0</v>
      </c>
      <c r="D399" s="2">
        <f t="shared" si="24"/>
        <v>0</v>
      </c>
      <c r="E399" s="23">
        <v>0.0289</v>
      </c>
      <c r="F399" s="2">
        <f t="shared" si="25"/>
        <v>0.000111153846153846</v>
      </c>
      <c r="G399" s="23">
        <f t="shared" si="27"/>
        <v>-0.000111153846153846</v>
      </c>
    </row>
    <row r="400" spans="1:10">
      <c r="A400" s="26">
        <v>45572</v>
      </c>
      <c r="B400" s="27">
        <v>64053.8</v>
      </c>
      <c r="C400" s="2">
        <f t="shared" si="26"/>
        <v>0.00754235595201205</v>
      </c>
      <c r="D400" s="2">
        <f t="shared" si="24"/>
        <v>0.00751405460217609</v>
      </c>
      <c r="E400" s="23">
        <v>0.02888</v>
      </c>
      <c r="F400" s="2">
        <f t="shared" si="25"/>
        <v>0.000111076923076923</v>
      </c>
      <c r="G400" s="23">
        <f t="shared" si="27"/>
        <v>0.00740297767909917</v>
      </c>
    </row>
    <row r="401" spans="1:10">
      <c r="A401" s="26">
        <v>45542</v>
      </c>
      <c r="B401" s="27">
        <v>64725</v>
      </c>
      <c r="C401" s="2">
        <f t="shared" si="26"/>
        <v>0.0104786913500838</v>
      </c>
      <c r="D401" s="2">
        <f t="shared" si="24"/>
        <v>0.0104241704052402</v>
      </c>
      <c r="E401" s="23">
        <v>0.02894</v>
      </c>
      <c r="F401" s="2">
        <f t="shared" si="25"/>
        <v>0.000111307692307692</v>
      </c>
      <c r="G401" s="23">
        <f t="shared" si="27"/>
        <v>0.0103128627129325</v>
      </c>
    </row>
    <row r="402" spans="1:10">
      <c r="A402" s="26">
        <v>45511</v>
      </c>
      <c r="B402" s="27">
        <v>64820.9</v>
      </c>
      <c r="C402" s="2">
        <f t="shared" si="26"/>
        <v>0.00148165314793359</v>
      </c>
      <c r="D402" s="2">
        <f t="shared" si="24"/>
        <v>0.00148055658292722</v>
      </c>
      <c r="E402" s="23">
        <v>0.02883</v>
      </c>
      <c r="F402" s="2">
        <f t="shared" si="25"/>
        <v>0.000110884615384615</v>
      </c>
      <c r="G402" s="23">
        <f t="shared" si="27"/>
        <v>0.00136967196754261</v>
      </c>
    </row>
    <row r="403" spans="1:10">
      <c r="A403" s="26">
        <v>45419</v>
      </c>
      <c r="B403" s="27">
        <v>64437.3</v>
      </c>
      <c r="C403" s="2">
        <f t="shared" si="26"/>
        <v>-0.00591784439895155</v>
      </c>
      <c r="D403" s="2">
        <f t="shared" si="24"/>
        <v>-0.00593542423090183</v>
      </c>
      <c r="E403" s="23">
        <v>0.02874</v>
      </c>
      <c r="F403" s="2">
        <f t="shared" si="25"/>
        <v>0.000110538461538462</v>
      </c>
      <c r="G403" s="23">
        <f t="shared" si="27"/>
        <v>-0.00604596269244029</v>
      </c>
    </row>
    <row r="404" spans="1:10">
      <c r="A404" s="26">
        <v>45389</v>
      </c>
      <c r="B404" s="27">
        <v>63670.2</v>
      </c>
      <c r="C404" s="2">
        <f t="shared" si="26"/>
        <v>-0.0119045956301708</v>
      </c>
      <c r="D404" s="2">
        <f t="shared" si="24"/>
        <v>-0.0119760227688304</v>
      </c>
      <c r="E404" s="23">
        <v>0.02872</v>
      </c>
      <c r="F404" s="2">
        <f t="shared" si="25"/>
        <v>0.000110461538461538</v>
      </c>
      <c r="G404" s="23">
        <f t="shared" si="27"/>
        <v>-0.0120864843072919</v>
      </c>
    </row>
    <row r="405" spans="1:10">
      <c r="A405" s="26">
        <v>45358</v>
      </c>
      <c r="B405" s="27">
        <v>63478.4</v>
      </c>
      <c r="C405" s="2">
        <f t="shared" si="26"/>
        <v>-0.00301239826480827</v>
      </c>
      <c r="D405" s="2">
        <f t="shared" si="24"/>
        <v>-0.00301694466914391</v>
      </c>
      <c r="E405" s="23">
        <v>0.02857</v>
      </c>
      <c r="F405" s="2">
        <f t="shared" si="25"/>
        <v>0.000109884615384615</v>
      </c>
      <c r="G405" s="23">
        <f t="shared" si="27"/>
        <v>-0.00312682928452852</v>
      </c>
    </row>
    <row r="406" spans="1:10">
      <c r="A406" s="26">
        <v>45329</v>
      </c>
      <c r="B406" s="27">
        <v>63478.4</v>
      </c>
      <c r="C406" s="2">
        <f t="shared" si="26"/>
        <v>0</v>
      </c>
      <c r="D406" s="2">
        <f t="shared" si="24"/>
        <v>0</v>
      </c>
      <c r="E406" s="23">
        <v>0.02875</v>
      </c>
      <c r="F406" s="2">
        <f t="shared" si="25"/>
        <v>0.000110576923076923</v>
      </c>
      <c r="G406" s="23">
        <f t="shared" si="27"/>
        <v>-0.000110576923076923</v>
      </c>
    </row>
    <row r="407" spans="1:10">
      <c r="A407" s="26">
        <v>45298</v>
      </c>
      <c r="B407" s="27">
        <v>63286.6</v>
      </c>
      <c r="C407" s="2">
        <f t="shared" si="26"/>
        <v>-0.00302150022684886</v>
      </c>
      <c r="D407" s="2">
        <f t="shared" si="24"/>
        <v>-0.00302607417443871</v>
      </c>
      <c r="E407" s="23">
        <v>0.02882</v>
      </c>
      <c r="F407" s="2">
        <f t="shared" si="25"/>
        <v>0.000110846153846154</v>
      </c>
      <c r="G407" s="23">
        <f t="shared" si="27"/>
        <v>-0.00313692032828487</v>
      </c>
    </row>
    <row r="408" spans="1:10">
      <c r="A408" s="28" t="s">
        <v>261</v>
      </c>
      <c r="B408" s="27">
        <v>62807.2</v>
      </c>
      <c r="C408" s="2">
        <f t="shared" si="26"/>
        <v>-0.00757506328353872</v>
      </c>
      <c r="D408" s="2">
        <f t="shared" si="24"/>
        <v>-0.00760389979330459</v>
      </c>
      <c r="E408" s="23">
        <v>0.02885</v>
      </c>
      <c r="F408" s="2">
        <f t="shared" si="25"/>
        <v>0.000110961538461538</v>
      </c>
      <c r="G408" s="23">
        <f t="shared" si="27"/>
        <v>-0.00771486133176613</v>
      </c>
      <c r="J408" s="21"/>
    </row>
    <row r="409" spans="1:10">
      <c r="A409" s="28" t="s">
        <v>262</v>
      </c>
      <c r="B409" s="27">
        <v>62615.4</v>
      </c>
      <c r="C409" s="2">
        <f t="shared" si="26"/>
        <v>-0.00305379001133621</v>
      </c>
      <c r="D409" s="2">
        <f t="shared" si="24"/>
        <v>-0.00305846234269007</v>
      </c>
      <c r="E409" s="23">
        <v>0.02889</v>
      </c>
      <c r="F409" s="2">
        <f t="shared" si="25"/>
        <v>0.000111115384615385</v>
      </c>
      <c r="G409" s="23">
        <f t="shared" si="27"/>
        <v>-0.00316957772730545</v>
      </c>
      <c r="J409" s="21"/>
    </row>
    <row r="410" spans="1:10">
      <c r="A410" s="28" t="s">
        <v>263</v>
      </c>
      <c r="B410" s="27">
        <v>62519.5</v>
      </c>
      <c r="C410" s="2">
        <f t="shared" si="26"/>
        <v>-0.00153157210526486</v>
      </c>
      <c r="D410" s="2">
        <f t="shared" si="24"/>
        <v>-0.00153274616074191</v>
      </c>
      <c r="E410" s="23">
        <v>0.02899</v>
      </c>
      <c r="F410" s="2">
        <f t="shared" si="25"/>
        <v>0.0001115</v>
      </c>
      <c r="G410" s="23">
        <f t="shared" si="27"/>
        <v>-0.00164424616074191</v>
      </c>
      <c r="J410" s="21"/>
    </row>
    <row r="411" spans="1:10">
      <c r="A411" s="28" t="s">
        <v>264</v>
      </c>
      <c r="B411" s="27">
        <v>62807.2</v>
      </c>
      <c r="C411" s="2">
        <f t="shared" si="26"/>
        <v>0.00460176424955409</v>
      </c>
      <c r="D411" s="2">
        <f t="shared" si="24"/>
        <v>0.00459120850343202</v>
      </c>
      <c r="E411" s="23">
        <v>0.02878</v>
      </c>
      <c r="F411" s="2">
        <f t="shared" si="25"/>
        <v>0.000110692307692308</v>
      </c>
      <c r="G411" s="23">
        <f t="shared" si="27"/>
        <v>0.00448051619573971</v>
      </c>
      <c r="J411" s="21"/>
    </row>
    <row r="412" spans="1:10">
      <c r="A412" s="28" t="s">
        <v>265</v>
      </c>
      <c r="B412" s="27">
        <v>62807.2</v>
      </c>
      <c r="C412" s="2">
        <f t="shared" si="26"/>
        <v>0</v>
      </c>
      <c r="D412" s="2">
        <f t="shared" si="24"/>
        <v>0</v>
      </c>
      <c r="E412" s="23">
        <v>0.0288</v>
      </c>
      <c r="F412" s="2">
        <f t="shared" si="25"/>
        <v>0.000110769230769231</v>
      </c>
      <c r="G412" s="23">
        <f t="shared" si="27"/>
        <v>-0.000110769230769231</v>
      </c>
      <c r="J412" s="21"/>
    </row>
    <row r="413" spans="1:10">
      <c r="A413" s="28" t="s">
        <v>266</v>
      </c>
      <c r="B413" s="27">
        <v>63286.6</v>
      </c>
      <c r="C413" s="2">
        <f t="shared" si="26"/>
        <v>0.00763288285419508</v>
      </c>
      <c r="D413" s="2">
        <f t="shared" si="24"/>
        <v>0.00760389979330465</v>
      </c>
      <c r="E413" s="23">
        <v>0.02863</v>
      </c>
      <c r="F413" s="2">
        <f t="shared" si="25"/>
        <v>0.000110115384615385</v>
      </c>
      <c r="G413" s="23">
        <f t="shared" si="27"/>
        <v>0.00749378440868926</v>
      </c>
      <c r="J413" s="21"/>
    </row>
    <row r="414" spans="1:10">
      <c r="A414" s="28" t="s">
        <v>267</v>
      </c>
      <c r="B414" s="27">
        <v>63286.6</v>
      </c>
      <c r="C414" s="2">
        <f t="shared" si="26"/>
        <v>0</v>
      </c>
      <c r="D414" s="2">
        <f t="shared" si="24"/>
        <v>0</v>
      </c>
      <c r="E414" s="23">
        <v>0.0285</v>
      </c>
      <c r="F414" s="2">
        <f t="shared" si="25"/>
        <v>0.000109615384615385</v>
      </c>
      <c r="G414" s="23">
        <f t="shared" si="27"/>
        <v>-0.000109615384615385</v>
      </c>
      <c r="J414" s="21"/>
    </row>
    <row r="415" spans="1:10">
      <c r="A415" s="28" t="s">
        <v>268</v>
      </c>
      <c r="B415" s="27">
        <v>62615.4</v>
      </c>
      <c r="C415" s="2">
        <f t="shared" si="26"/>
        <v>-0.0106057206422844</v>
      </c>
      <c r="D415" s="2">
        <f t="shared" si="24"/>
        <v>-0.0106623621359946</v>
      </c>
      <c r="E415" s="23">
        <v>0.0289</v>
      </c>
      <c r="F415" s="2">
        <f t="shared" si="25"/>
        <v>0.000111153846153846</v>
      </c>
      <c r="G415" s="23">
        <f t="shared" si="27"/>
        <v>-0.0107735159821484</v>
      </c>
      <c r="J415" s="21"/>
    </row>
    <row r="416" spans="1:10">
      <c r="A416" s="28" t="s">
        <v>269</v>
      </c>
      <c r="B416" s="27">
        <v>63190.8</v>
      </c>
      <c r="C416" s="2">
        <f t="shared" si="26"/>
        <v>0.00918943263158906</v>
      </c>
      <c r="D416" s="2">
        <f t="shared" si="24"/>
        <v>0.00914746669505406</v>
      </c>
      <c r="E416" s="23">
        <v>0.02907</v>
      </c>
      <c r="F416" s="2">
        <f t="shared" si="25"/>
        <v>0.000111807692307692</v>
      </c>
      <c r="G416" s="23">
        <f t="shared" si="27"/>
        <v>0.00903565900274637</v>
      </c>
      <c r="J416" s="21"/>
    </row>
    <row r="417" spans="1:10">
      <c r="A417" s="28" t="s">
        <v>270</v>
      </c>
      <c r="B417" s="27">
        <v>63286.6</v>
      </c>
      <c r="C417" s="2">
        <f t="shared" si="26"/>
        <v>0.00151604347468295</v>
      </c>
      <c r="D417" s="2">
        <f t="shared" ref="D417:D480" si="28">LN(B417/B416)</f>
        <v>0.00151489544094071</v>
      </c>
      <c r="E417" s="23">
        <v>0.02903</v>
      </c>
      <c r="F417" s="2">
        <f t="shared" si="25"/>
        <v>0.000111653846153846</v>
      </c>
      <c r="G417" s="23">
        <f t="shared" si="27"/>
        <v>0.00140324159478686</v>
      </c>
      <c r="J417" s="21"/>
    </row>
    <row r="418" spans="1:10">
      <c r="A418" s="28" t="s">
        <v>271</v>
      </c>
      <c r="B418" s="27">
        <v>63478.4</v>
      </c>
      <c r="C418" s="2">
        <f t="shared" si="26"/>
        <v>0.00303065735874582</v>
      </c>
      <c r="D418" s="2">
        <f t="shared" si="28"/>
        <v>0.00302607417443862</v>
      </c>
      <c r="E418" s="23">
        <v>0.02901</v>
      </c>
      <c r="F418" s="2">
        <f t="shared" si="25"/>
        <v>0.000111576923076923</v>
      </c>
      <c r="G418" s="23">
        <f t="shared" si="27"/>
        <v>0.0029144972513617</v>
      </c>
    </row>
    <row r="419" spans="1:10">
      <c r="A419" s="28" t="s">
        <v>272</v>
      </c>
      <c r="B419" s="27">
        <v>64149.6</v>
      </c>
      <c r="C419" s="2">
        <f t="shared" si="26"/>
        <v>0.0105736754549579</v>
      </c>
      <c r="D419" s="2">
        <f t="shared" si="28"/>
        <v>0.0105181651047384</v>
      </c>
      <c r="E419" s="23">
        <v>0.02907</v>
      </c>
      <c r="F419" s="2">
        <f t="shared" si="25"/>
        <v>0.000111807692307692</v>
      </c>
      <c r="G419" s="23">
        <f t="shared" si="27"/>
        <v>0.0104063574124307</v>
      </c>
    </row>
    <row r="420" spans="1:10">
      <c r="A420" s="26">
        <v>45632</v>
      </c>
      <c r="B420" s="27">
        <v>64245.5</v>
      </c>
      <c r="C420" s="2">
        <f t="shared" si="26"/>
        <v>0.00149494307057256</v>
      </c>
      <c r="D420" s="2">
        <f t="shared" si="28"/>
        <v>0.00149382675559358</v>
      </c>
      <c r="E420" s="23">
        <v>0.02932</v>
      </c>
      <c r="F420" s="2">
        <f t="shared" si="25"/>
        <v>0.000112769230769231</v>
      </c>
      <c r="G420" s="23">
        <f t="shared" si="27"/>
        <v>0.00138105752482434</v>
      </c>
    </row>
    <row r="421" spans="1:10">
      <c r="A421" s="26">
        <v>45602</v>
      </c>
      <c r="B421" s="27">
        <v>63766.1</v>
      </c>
      <c r="C421" s="2">
        <f t="shared" si="26"/>
        <v>-0.00746200122965813</v>
      </c>
      <c r="D421" s="2">
        <f t="shared" si="28"/>
        <v>-0.00748998123897636</v>
      </c>
      <c r="E421" s="23">
        <v>0.02939</v>
      </c>
      <c r="F421" s="2">
        <f t="shared" si="25"/>
        <v>0.000113038461538462</v>
      </c>
      <c r="G421" s="23">
        <f t="shared" si="27"/>
        <v>-0.00760301970051482</v>
      </c>
    </row>
    <row r="422" spans="1:10">
      <c r="A422" s="26">
        <v>45571</v>
      </c>
      <c r="B422" s="27">
        <v>64437.3</v>
      </c>
      <c r="C422" s="2">
        <f t="shared" si="26"/>
        <v>0.0105259691277968</v>
      </c>
      <c r="D422" s="2">
        <f t="shared" si="28"/>
        <v>0.0104709568166188</v>
      </c>
      <c r="E422" s="23">
        <v>0.02929</v>
      </c>
      <c r="F422" s="2">
        <f t="shared" si="25"/>
        <v>0.000112653846153846</v>
      </c>
      <c r="G422" s="23">
        <f t="shared" si="27"/>
        <v>0.010358302970465</v>
      </c>
    </row>
    <row r="423" spans="1:10">
      <c r="A423" s="26">
        <v>45479</v>
      </c>
      <c r="B423" s="27">
        <v>65012.6</v>
      </c>
      <c r="C423" s="2">
        <f t="shared" si="26"/>
        <v>0.00892805874858189</v>
      </c>
      <c r="D423" s="2">
        <f t="shared" si="28"/>
        <v>0.00888843927411838</v>
      </c>
      <c r="E423" s="23">
        <v>0.02908</v>
      </c>
      <c r="F423" s="2">
        <f t="shared" si="25"/>
        <v>0.000111846153846154</v>
      </c>
      <c r="G423" s="23">
        <f t="shared" si="27"/>
        <v>0.00877659312027222</v>
      </c>
    </row>
    <row r="424" spans="1:10">
      <c r="A424" s="26">
        <v>45449</v>
      </c>
      <c r="B424" s="27">
        <v>64437.3</v>
      </c>
      <c r="C424" s="2">
        <f t="shared" si="26"/>
        <v>-0.00884905387571018</v>
      </c>
      <c r="D424" s="2">
        <f t="shared" si="28"/>
        <v>-0.00888843927411848</v>
      </c>
      <c r="E424" s="23">
        <v>0.02916</v>
      </c>
      <c r="F424" s="2">
        <f t="shared" si="25"/>
        <v>0.000112153846153846</v>
      </c>
      <c r="G424" s="23">
        <f t="shared" si="27"/>
        <v>-0.00900059312027233</v>
      </c>
    </row>
    <row r="425" spans="1:10">
      <c r="A425" s="26">
        <v>45418</v>
      </c>
      <c r="B425" s="27">
        <v>65683.9</v>
      </c>
      <c r="C425" s="2">
        <f t="shared" si="26"/>
        <v>0.0193459378341425</v>
      </c>
      <c r="D425" s="2">
        <f t="shared" si="28"/>
        <v>0.0191611841980281</v>
      </c>
      <c r="E425" s="23">
        <v>0.02914</v>
      </c>
      <c r="F425" s="2">
        <f t="shared" si="25"/>
        <v>0.000112076923076923</v>
      </c>
      <c r="G425" s="23">
        <f t="shared" si="27"/>
        <v>0.0190491072749512</v>
      </c>
    </row>
    <row r="426" spans="1:10">
      <c r="A426" s="26">
        <v>45388</v>
      </c>
      <c r="B426" s="27">
        <v>63286.6</v>
      </c>
      <c r="C426" s="2">
        <f t="shared" si="26"/>
        <v>-0.0364975283136354</v>
      </c>
      <c r="D426" s="2">
        <f t="shared" si="28"/>
        <v>-0.0371802258104412</v>
      </c>
      <c r="E426" s="23">
        <v>0.02911</v>
      </c>
      <c r="F426" s="2">
        <f t="shared" si="25"/>
        <v>0.000111961538461538</v>
      </c>
      <c r="G426" s="23">
        <f t="shared" si="27"/>
        <v>-0.0372921873489027</v>
      </c>
    </row>
    <row r="427" spans="1:10">
      <c r="A427" s="26">
        <v>45357</v>
      </c>
      <c r="B427" s="27">
        <v>63382.5</v>
      </c>
      <c r="C427" s="2">
        <f t="shared" si="26"/>
        <v>0.00151532867937291</v>
      </c>
      <c r="D427" s="2">
        <f t="shared" si="28"/>
        <v>0.00151418172739634</v>
      </c>
      <c r="E427" s="23">
        <v>0.02929</v>
      </c>
      <c r="F427" s="2">
        <f t="shared" si="25"/>
        <v>0.000112653846153846</v>
      </c>
      <c r="G427" s="23">
        <f t="shared" si="27"/>
        <v>0.00140152788124249</v>
      </c>
    </row>
    <row r="428" spans="1:10">
      <c r="A428" s="28" t="s">
        <v>273</v>
      </c>
      <c r="B428" s="27">
        <v>62711.3</v>
      </c>
      <c r="C428" s="2">
        <f t="shared" si="26"/>
        <v>-0.0105896738058612</v>
      </c>
      <c r="D428" s="2">
        <f t="shared" si="28"/>
        <v>-0.0106461434185138</v>
      </c>
      <c r="E428" s="23">
        <v>0.02948</v>
      </c>
      <c r="F428" s="2">
        <f t="shared" si="25"/>
        <v>0.000113384615384615</v>
      </c>
      <c r="G428" s="23">
        <f t="shared" si="27"/>
        <v>-0.0107595280338984</v>
      </c>
    </row>
    <row r="429" spans="1:10">
      <c r="A429" s="28" t="s">
        <v>274</v>
      </c>
      <c r="B429" s="27">
        <v>62999</v>
      </c>
      <c r="C429" s="2">
        <f t="shared" si="26"/>
        <v>0.00458768993785804</v>
      </c>
      <c r="D429" s="2">
        <f t="shared" si="28"/>
        <v>0.00457719856358589</v>
      </c>
      <c r="E429" s="23">
        <v>0.02967</v>
      </c>
      <c r="F429" s="2">
        <f t="shared" si="25"/>
        <v>0.000114115384615385</v>
      </c>
      <c r="G429" s="23">
        <f t="shared" si="27"/>
        <v>0.0044630831789705</v>
      </c>
    </row>
    <row r="430" spans="1:10">
      <c r="A430" s="28" t="s">
        <v>275</v>
      </c>
      <c r="B430" s="27">
        <v>63574.3</v>
      </c>
      <c r="C430" s="2">
        <f t="shared" si="26"/>
        <v>0.00913189098239659</v>
      </c>
      <c r="D430" s="2">
        <f t="shared" si="28"/>
        <v>0.00909044738050296</v>
      </c>
      <c r="E430" s="23">
        <v>0.02955</v>
      </c>
      <c r="F430" s="2">
        <f t="shared" si="25"/>
        <v>0.000113653846153846</v>
      </c>
      <c r="G430" s="23">
        <f t="shared" si="27"/>
        <v>0.00897679353434911</v>
      </c>
      <c r="J430" s="21"/>
    </row>
    <row r="431" spans="1:10">
      <c r="A431" s="28" t="s">
        <v>276</v>
      </c>
      <c r="B431" s="27">
        <v>64053.8</v>
      </c>
      <c r="C431" s="2">
        <f t="shared" si="26"/>
        <v>0.00754235595201205</v>
      </c>
      <c r="D431" s="2">
        <f t="shared" si="28"/>
        <v>0.00751405460217609</v>
      </c>
      <c r="E431" s="23">
        <v>0.02988</v>
      </c>
      <c r="F431" s="2">
        <f t="shared" si="25"/>
        <v>0.000114923076923077</v>
      </c>
      <c r="G431" s="23">
        <f t="shared" si="27"/>
        <v>0.00739913152525302</v>
      </c>
      <c r="J431" s="21"/>
    </row>
    <row r="432" spans="1:10">
      <c r="A432" s="28" t="s">
        <v>277</v>
      </c>
      <c r="B432" s="27">
        <v>63382.5</v>
      </c>
      <c r="C432" s="2">
        <f t="shared" si="26"/>
        <v>-0.0104802525377105</v>
      </c>
      <c r="D432" s="2">
        <f t="shared" si="28"/>
        <v>-0.0105355571277512</v>
      </c>
      <c r="E432" s="23">
        <v>0.03014</v>
      </c>
      <c r="F432" s="2">
        <f t="shared" si="25"/>
        <v>0.000115923076923077</v>
      </c>
      <c r="G432" s="23">
        <f t="shared" si="27"/>
        <v>-0.0106514802046743</v>
      </c>
      <c r="J432" s="21"/>
    </row>
    <row r="433" spans="1:10">
      <c r="A433" s="28" t="s">
        <v>278</v>
      </c>
      <c r="B433" s="27">
        <v>63286.6</v>
      </c>
      <c r="C433" s="2">
        <f t="shared" si="26"/>
        <v>-0.00151303593263127</v>
      </c>
      <c r="D433" s="2">
        <f t="shared" si="28"/>
        <v>-0.00151418172739629</v>
      </c>
      <c r="E433" s="23">
        <v>0.03035</v>
      </c>
      <c r="F433" s="2">
        <f t="shared" si="25"/>
        <v>0.000116730769230769</v>
      </c>
      <c r="G433" s="23">
        <f t="shared" si="27"/>
        <v>-0.00163091249662706</v>
      </c>
      <c r="J433" s="21"/>
    </row>
    <row r="434" spans="1:10">
      <c r="A434" s="28" t="s">
        <v>279</v>
      </c>
      <c r="B434" s="27">
        <v>64245.5</v>
      </c>
      <c r="C434" s="2">
        <f t="shared" si="26"/>
        <v>0.0151517066804031</v>
      </c>
      <c r="D434" s="2">
        <f t="shared" si="28"/>
        <v>0.0150380660347707</v>
      </c>
      <c r="E434" s="23">
        <v>0.03027</v>
      </c>
      <c r="F434" s="2">
        <f t="shared" si="25"/>
        <v>0.000116423076923077</v>
      </c>
      <c r="G434" s="23">
        <f t="shared" si="27"/>
        <v>0.0149216429578476</v>
      </c>
      <c r="J434" s="21"/>
    </row>
    <row r="435" spans="1:10">
      <c r="A435" s="28" t="s">
        <v>280</v>
      </c>
      <c r="B435" s="27">
        <v>63094.9</v>
      </c>
      <c r="C435" s="2">
        <f t="shared" si="26"/>
        <v>-0.0179094255628799</v>
      </c>
      <c r="D435" s="2">
        <f t="shared" si="28"/>
        <v>-0.0180717402200075</v>
      </c>
      <c r="E435" s="23">
        <v>0.02959</v>
      </c>
      <c r="F435" s="2">
        <f t="shared" si="25"/>
        <v>0.000113807692307692</v>
      </c>
      <c r="G435" s="23">
        <f t="shared" si="27"/>
        <v>-0.0181855479123152</v>
      </c>
      <c r="J435" s="21"/>
    </row>
    <row r="436" spans="1:10">
      <c r="A436" s="28" t="s">
        <v>281</v>
      </c>
      <c r="B436" s="27">
        <v>63478.4</v>
      </c>
      <c r="C436" s="2">
        <f t="shared" si="26"/>
        <v>0.00607814577723398</v>
      </c>
      <c r="D436" s="2">
        <f t="shared" si="28"/>
        <v>0.00605974835967551</v>
      </c>
      <c r="E436" s="23">
        <v>0.02852</v>
      </c>
      <c r="F436" s="2">
        <f t="shared" si="25"/>
        <v>0.000109692307692308</v>
      </c>
      <c r="G436" s="23">
        <f t="shared" si="27"/>
        <v>0.0059500560519832</v>
      </c>
      <c r="J436" s="21"/>
    </row>
    <row r="437" spans="1:10">
      <c r="A437" s="28" t="s">
        <v>282</v>
      </c>
      <c r="B437" s="27">
        <v>63670.2</v>
      </c>
      <c r="C437" s="2">
        <f t="shared" si="26"/>
        <v>0.00302150022684875</v>
      </c>
      <c r="D437" s="2">
        <f t="shared" si="28"/>
        <v>0.00301694466914395</v>
      </c>
      <c r="E437" s="23">
        <v>0.02868</v>
      </c>
      <c r="F437" s="2">
        <f t="shared" si="25"/>
        <v>0.000110307692307692</v>
      </c>
      <c r="G437" s="23">
        <f t="shared" si="27"/>
        <v>0.00290663697683625</v>
      </c>
      <c r="J437" s="21"/>
    </row>
    <row r="438" spans="1:10">
      <c r="A438" s="28" t="s">
        <v>283</v>
      </c>
      <c r="B438" s="27">
        <v>64245.5</v>
      </c>
      <c r="C438" s="2">
        <f t="shared" si="26"/>
        <v>0.00903562420096062</v>
      </c>
      <c r="D438" s="2">
        <f t="shared" si="28"/>
        <v>0.00899504719118795</v>
      </c>
      <c r="E438" s="23">
        <v>0.02857</v>
      </c>
      <c r="F438" s="2">
        <f t="shared" si="25"/>
        <v>0.000109884615384615</v>
      </c>
      <c r="G438" s="23">
        <f t="shared" si="27"/>
        <v>0.00888516257580334</v>
      </c>
    </row>
    <row r="439" spans="1:10">
      <c r="A439" s="28" t="s">
        <v>284</v>
      </c>
      <c r="B439" s="27">
        <v>64437.3</v>
      </c>
      <c r="C439" s="2">
        <f t="shared" si="26"/>
        <v>0.00298542310356372</v>
      </c>
      <c r="D439" s="2">
        <f t="shared" si="28"/>
        <v>0.0029809755776425</v>
      </c>
      <c r="E439" s="23">
        <v>0.02865</v>
      </c>
      <c r="F439" s="2">
        <f t="shared" si="25"/>
        <v>0.000110192307692308</v>
      </c>
      <c r="G439" s="23">
        <f t="shared" si="27"/>
        <v>0.00287078326995019</v>
      </c>
    </row>
    <row r="440" spans="1:10">
      <c r="A440" s="28" t="s">
        <v>285</v>
      </c>
      <c r="B440" s="27">
        <v>64245.5</v>
      </c>
      <c r="C440" s="2">
        <f t="shared" si="26"/>
        <v>-0.00297653688158881</v>
      </c>
      <c r="D440" s="2">
        <f t="shared" si="28"/>
        <v>-0.00298097557764248</v>
      </c>
      <c r="E440" s="23">
        <v>0.02878</v>
      </c>
      <c r="F440" s="2">
        <f t="shared" si="25"/>
        <v>0.000110692307692308</v>
      </c>
      <c r="G440" s="23">
        <f t="shared" si="27"/>
        <v>-0.00309166788533479</v>
      </c>
    </row>
    <row r="441" spans="1:10">
      <c r="A441" s="28" t="s">
        <v>286</v>
      </c>
      <c r="B441" s="27">
        <v>63766.1</v>
      </c>
      <c r="C441" s="2">
        <f t="shared" si="26"/>
        <v>-0.00746200122965813</v>
      </c>
      <c r="D441" s="2">
        <f t="shared" si="28"/>
        <v>-0.00748998123897636</v>
      </c>
      <c r="E441" s="23">
        <v>0.02877</v>
      </c>
      <c r="F441" s="2">
        <f t="shared" si="25"/>
        <v>0.000110653846153846</v>
      </c>
      <c r="G441" s="23">
        <f t="shared" si="27"/>
        <v>-0.0076006350851302</v>
      </c>
    </row>
    <row r="442" spans="1:10">
      <c r="A442" s="28" t="s">
        <v>287</v>
      </c>
      <c r="B442" s="27">
        <v>63094.9</v>
      </c>
      <c r="C442" s="2">
        <f t="shared" si="26"/>
        <v>-0.0105259691277967</v>
      </c>
      <c r="D442" s="2">
        <f t="shared" si="28"/>
        <v>-0.0105817589810311</v>
      </c>
      <c r="E442" s="23">
        <v>0.02878</v>
      </c>
      <c r="F442" s="2">
        <f t="shared" si="25"/>
        <v>0.000110692307692308</v>
      </c>
      <c r="G442" s="23">
        <f t="shared" si="27"/>
        <v>-0.0106924512887234</v>
      </c>
    </row>
    <row r="443" spans="1:10">
      <c r="A443" s="26">
        <v>45570</v>
      </c>
      <c r="B443" s="27">
        <v>63766.1</v>
      </c>
      <c r="C443" s="2">
        <f t="shared" si="26"/>
        <v>0.0106379437957743</v>
      </c>
      <c r="D443" s="2">
        <f t="shared" si="28"/>
        <v>0.0105817589810311</v>
      </c>
      <c r="E443" s="23">
        <v>0.02862</v>
      </c>
      <c r="F443" s="2">
        <f t="shared" si="25"/>
        <v>0.000110076923076923</v>
      </c>
      <c r="G443" s="23">
        <f t="shared" si="27"/>
        <v>0.0104716820579542</v>
      </c>
    </row>
    <row r="444" spans="1:10">
      <c r="A444" s="26">
        <v>45540</v>
      </c>
      <c r="B444" s="27">
        <v>63862</v>
      </c>
      <c r="C444" s="2">
        <f t="shared" si="26"/>
        <v>0.00150393390845608</v>
      </c>
      <c r="D444" s="2">
        <f t="shared" si="28"/>
        <v>0.00150280413245276</v>
      </c>
      <c r="E444" s="23">
        <v>0.02875</v>
      </c>
      <c r="F444" s="2">
        <f t="shared" si="25"/>
        <v>0.000110576923076923</v>
      </c>
      <c r="G444" s="23">
        <f t="shared" si="27"/>
        <v>0.00139222720937584</v>
      </c>
    </row>
    <row r="445" spans="1:10">
      <c r="A445" s="26">
        <v>45509</v>
      </c>
      <c r="B445" s="27">
        <v>65108.5</v>
      </c>
      <c r="C445" s="2">
        <f t="shared" si="26"/>
        <v>0.0195186495881745</v>
      </c>
      <c r="D445" s="2">
        <f t="shared" si="28"/>
        <v>0.0193306037421318</v>
      </c>
      <c r="E445" s="23">
        <v>0.02884</v>
      </c>
      <c r="F445" s="2">
        <f t="shared" si="25"/>
        <v>0.000110923076923077</v>
      </c>
      <c r="G445" s="23">
        <f t="shared" si="27"/>
        <v>0.0192196806652087</v>
      </c>
    </row>
    <row r="446" spans="1:10">
      <c r="A446" s="26">
        <v>45478</v>
      </c>
      <c r="B446" s="27">
        <v>65204.4</v>
      </c>
      <c r="C446" s="2">
        <f t="shared" si="26"/>
        <v>0.00147292596204799</v>
      </c>
      <c r="D446" s="2">
        <f t="shared" si="28"/>
        <v>0.00147184227060422</v>
      </c>
      <c r="E446" s="23">
        <v>0.02875</v>
      </c>
      <c r="F446" s="2">
        <f t="shared" si="25"/>
        <v>0.000110576923076923</v>
      </c>
      <c r="G446" s="23">
        <f t="shared" si="27"/>
        <v>0.0013612653475273</v>
      </c>
    </row>
    <row r="447" spans="1:10">
      <c r="A447" s="26">
        <v>45448</v>
      </c>
      <c r="B447" s="27">
        <v>63094.9</v>
      </c>
      <c r="C447" s="2">
        <f t="shared" si="26"/>
        <v>-0.0323521112072191</v>
      </c>
      <c r="D447" s="2">
        <f t="shared" si="28"/>
        <v>-0.0328870091262198</v>
      </c>
      <c r="E447" s="23">
        <v>0.02881</v>
      </c>
      <c r="F447" s="2">
        <f t="shared" si="25"/>
        <v>0.000110807692307692</v>
      </c>
      <c r="G447" s="23">
        <f t="shared" si="27"/>
        <v>-0.0329978168185275</v>
      </c>
    </row>
    <row r="448" spans="1:10">
      <c r="A448" s="26">
        <v>45356</v>
      </c>
      <c r="B448" s="27">
        <v>62903.1</v>
      </c>
      <c r="C448" s="2">
        <f t="shared" si="26"/>
        <v>-0.0030398653456936</v>
      </c>
      <c r="D448" s="2">
        <f t="shared" si="28"/>
        <v>-0.00304449512133056</v>
      </c>
      <c r="E448" s="23">
        <v>0.02924</v>
      </c>
      <c r="F448" s="2">
        <f t="shared" si="25"/>
        <v>0.000112461538461538</v>
      </c>
      <c r="G448" s="23">
        <f t="shared" si="27"/>
        <v>-0.0031569566597921</v>
      </c>
    </row>
    <row r="449" spans="1:10">
      <c r="A449" s="26">
        <v>45327</v>
      </c>
      <c r="B449" s="27">
        <v>62711.3</v>
      </c>
      <c r="C449" s="2">
        <f t="shared" si="26"/>
        <v>-0.00304913430339674</v>
      </c>
      <c r="D449" s="2">
        <f t="shared" si="28"/>
        <v>-0.00305379238455001</v>
      </c>
      <c r="E449" s="23">
        <v>0.02926</v>
      </c>
      <c r="F449" s="2">
        <f t="shared" si="25"/>
        <v>0.000112538461538462</v>
      </c>
      <c r="G449" s="23">
        <f t="shared" si="27"/>
        <v>-0.00316633084608847</v>
      </c>
    </row>
    <row r="450" spans="1:10">
      <c r="A450" s="28" t="s">
        <v>288</v>
      </c>
      <c r="B450" s="27">
        <v>62327.8</v>
      </c>
      <c r="C450" s="2">
        <f t="shared" si="26"/>
        <v>-0.00611532530819804</v>
      </c>
      <c r="D450" s="2">
        <f t="shared" si="28"/>
        <v>-0.00613410049338949</v>
      </c>
      <c r="E450" s="23">
        <v>0.029</v>
      </c>
      <c r="F450" s="2">
        <f t="shared" si="25"/>
        <v>0.000111538461538462</v>
      </c>
      <c r="G450" s="23">
        <f t="shared" si="27"/>
        <v>-0.00624563895492795</v>
      </c>
    </row>
    <row r="451" spans="1:10">
      <c r="A451" s="28" t="s">
        <v>289</v>
      </c>
      <c r="B451" s="27">
        <v>62040.1</v>
      </c>
      <c r="C451" s="2">
        <f t="shared" si="26"/>
        <v>-0.00461591777665832</v>
      </c>
      <c r="D451" s="2">
        <f t="shared" si="28"/>
        <v>-0.00462660402235372</v>
      </c>
      <c r="E451" s="23">
        <v>0.02903</v>
      </c>
      <c r="F451" s="2">
        <f t="shared" ref="F451:F514" si="29">E451/260</f>
        <v>0.000111653846153846</v>
      </c>
      <c r="G451" s="23">
        <f t="shared" si="27"/>
        <v>-0.00473825786850757</v>
      </c>
    </row>
    <row r="452" spans="1:10">
      <c r="A452" s="28" t="s">
        <v>290</v>
      </c>
      <c r="B452" s="27">
        <v>61368.9</v>
      </c>
      <c r="C452" s="2">
        <f t="shared" ref="C452:C515" si="30">(B452-B451)/B451</f>
        <v>-0.0108188091250658</v>
      </c>
      <c r="D452" s="2">
        <f t="shared" si="28"/>
        <v>-0.0108777579971191</v>
      </c>
      <c r="E452" s="23">
        <v>0.02921</v>
      </c>
      <c r="F452" s="2">
        <f t="shared" si="29"/>
        <v>0.000112346153846154</v>
      </c>
      <c r="G452" s="23">
        <f t="shared" ref="G452:G515" si="31">D452-F452</f>
        <v>-0.0109901041509653</v>
      </c>
    </row>
    <row r="453" spans="1:10">
      <c r="A453" s="28" t="s">
        <v>291</v>
      </c>
      <c r="B453" s="27">
        <v>60889.4</v>
      </c>
      <c r="C453" s="2">
        <f t="shared" si="30"/>
        <v>-0.00781340385765428</v>
      </c>
      <c r="D453" s="2">
        <f t="shared" si="28"/>
        <v>-0.00784408843608451</v>
      </c>
      <c r="E453" s="23">
        <v>0.0291</v>
      </c>
      <c r="F453" s="2">
        <f t="shared" si="29"/>
        <v>0.000111923076923077</v>
      </c>
      <c r="G453" s="23">
        <f t="shared" si="31"/>
        <v>-0.00795601151300759</v>
      </c>
      <c r="J453" s="21"/>
    </row>
    <row r="454" spans="1:10">
      <c r="A454" s="28" t="s">
        <v>292</v>
      </c>
      <c r="B454" s="27">
        <v>61368.9</v>
      </c>
      <c r="C454" s="2">
        <f t="shared" si="30"/>
        <v>0.00787493389654028</v>
      </c>
      <c r="D454" s="2">
        <f t="shared" si="28"/>
        <v>0.00784408843608449</v>
      </c>
      <c r="E454" s="23">
        <v>0.02927</v>
      </c>
      <c r="F454" s="2">
        <f t="shared" si="29"/>
        <v>0.000112576923076923</v>
      </c>
      <c r="G454" s="23">
        <f t="shared" si="31"/>
        <v>0.00773151151300757</v>
      </c>
      <c r="J454" s="21"/>
    </row>
    <row r="455" spans="1:10">
      <c r="A455" s="28" t="s">
        <v>293</v>
      </c>
      <c r="B455" s="27">
        <v>61560.6</v>
      </c>
      <c r="C455" s="2">
        <f t="shared" si="30"/>
        <v>0.00312373205320606</v>
      </c>
      <c r="D455" s="2">
        <f t="shared" si="28"/>
        <v>0.00311886333864084</v>
      </c>
      <c r="E455" s="23">
        <v>0.02922</v>
      </c>
      <c r="F455" s="2">
        <f t="shared" si="29"/>
        <v>0.000112384615384615</v>
      </c>
      <c r="G455" s="23">
        <f t="shared" si="31"/>
        <v>0.00300647872325623</v>
      </c>
      <c r="J455" s="21"/>
    </row>
    <row r="456" spans="1:10">
      <c r="A456" s="28" t="s">
        <v>294</v>
      </c>
      <c r="B456" s="27">
        <v>61560.6</v>
      </c>
      <c r="C456" s="2">
        <f t="shared" si="30"/>
        <v>0</v>
      </c>
      <c r="D456" s="2">
        <f t="shared" si="28"/>
        <v>0</v>
      </c>
      <c r="E456" s="23">
        <v>0.02923</v>
      </c>
      <c r="F456" s="2">
        <f t="shared" si="29"/>
        <v>0.000112423076923077</v>
      </c>
      <c r="G456" s="23">
        <f t="shared" si="31"/>
        <v>-0.000112423076923077</v>
      </c>
      <c r="J456" s="21"/>
    </row>
    <row r="457" spans="1:10">
      <c r="A457" s="28" t="s">
        <v>295</v>
      </c>
      <c r="B457" s="27">
        <v>61368.9</v>
      </c>
      <c r="C457" s="2">
        <f t="shared" si="30"/>
        <v>-0.00311400473679589</v>
      </c>
      <c r="D457" s="2">
        <f t="shared" si="28"/>
        <v>-0.00311886333864087</v>
      </c>
      <c r="E457" s="23">
        <v>0.0294</v>
      </c>
      <c r="F457" s="2">
        <f t="shared" si="29"/>
        <v>0.000113076923076923</v>
      </c>
      <c r="G457" s="23">
        <f t="shared" si="31"/>
        <v>-0.00323194026171779</v>
      </c>
      <c r="J457" s="21"/>
    </row>
    <row r="458" spans="1:10">
      <c r="A458" s="28" t="s">
        <v>296</v>
      </c>
      <c r="B458" s="27">
        <v>62231.9</v>
      </c>
      <c r="C458" s="2">
        <f t="shared" si="30"/>
        <v>0.0140624974539221</v>
      </c>
      <c r="D458" s="2">
        <f t="shared" si="28"/>
        <v>0.0139645378396022</v>
      </c>
      <c r="E458" s="23">
        <v>0.02894</v>
      </c>
      <c r="F458" s="2">
        <f t="shared" si="29"/>
        <v>0.000111307692307692</v>
      </c>
      <c r="G458" s="23">
        <f t="shared" si="31"/>
        <v>0.0138532301472945</v>
      </c>
      <c r="J458" s="21"/>
    </row>
    <row r="459" spans="1:10">
      <c r="A459" s="26">
        <v>45630</v>
      </c>
      <c r="B459" s="27">
        <v>63957.9</v>
      </c>
      <c r="C459" s="2">
        <f t="shared" si="30"/>
        <v>0.027734971935615</v>
      </c>
      <c r="D459" s="2">
        <f t="shared" si="28"/>
        <v>0.0273573243932641</v>
      </c>
      <c r="E459" s="23">
        <v>0.02861</v>
      </c>
      <c r="F459" s="2">
        <f t="shared" si="29"/>
        <v>0.000110038461538462</v>
      </c>
      <c r="G459" s="23">
        <f t="shared" si="31"/>
        <v>0.0272472859317256</v>
      </c>
      <c r="J459" s="21"/>
    </row>
    <row r="460" spans="1:10">
      <c r="A460" s="26">
        <v>45600</v>
      </c>
      <c r="B460" s="27">
        <v>63862</v>
      </c>
      <c r="C460" s="2">
        <f t="shared" si="30"/>
        <v>-0.0014994238397446</v>
      </c>
      <c r="D460" s="2">
        <f t="shared" si="28"/>
        <v>-0.00150054910063949</v>
      </c>
      <c r="E460" s="23">
        <v>0.02831</v>
      </c>
      <c r="F460" s="2">
        <f t="shared" si="29"/>
        <v>0.000108884615384615</v>
      </c>
      <c r="G460" s="23">
        <f t="shared" si="31"/>
        <v>-0.0016094337160241</v>
      </c>
      <c r="J460" s="21"/>
    </row>
    <row r="461" spans="1:10">
      <c r="A461" s="26">
        <v>45569</v>
      </c>
      <c r="B461" s="27">
        <v>64053.8</v>
      </c>
      <c r="C461" s="2">
        <f t="shared" si="30"/>
        <v>0.00300335097554106</v>
      </c>
      <c r="D461" s="2">
        <f t="shared" si="28"/>
        <v>0.00299884992690062</v>
      </c>
      <c r="E461" s="23">
        <v>0.02809</v>
      </c>
      <c r="F461" s="2">
        <f t="shared" si="29"/>
        <v>0.000108038461538462</v>
      </c>
      <c r="G461" s="23">
        <f t="shared" si="31"/>
        <v>0.00289081146536216</v>
      </c>
    </row>
    <row r="462" spans="1:10">
      <c r="A462" s="26">
        <v>45539</v>
      </c>
      <c r="B462" s="27">
        <v>64245.5</v>
      </c>
      <c r="C462" s="2">
        <f t="shared" si="30"/>
        <v>0.00299279668029058</v>
      </c>
      <c r="D462" s="2">
        <f t="shared" si="28"/>
        <v>0.00298832717962308</v>
      </c>
      <c r="E462" s="23">
        <v>0.02809</v>
      </c>
      <c r="F462" s="2">
        <f t="shared" si="29"/>
        <v>0.000108038461538462</v>
      </c>
      <c r="G462" s="23">
        <f t="shared" si="31"/>
        <v>0.00288028871808462</v>
      </c>
    </row>
    <row r="463" spans="1:10">
      <c r="A463" s="26">
        <v>45508</v>
      </c>
      <c r="B463" s="27">
        <v>64245.5</v>
      </c>
      <c r="C463" s="2">
        <f t="shared" si="30"/>
        <v>0</v>
      </c>
      <c r="D463" s="2">
        <f t="shared" si="28"/>
        <v>0</v>
      </c>
      <c r="E463" s="23">
        <v>0.02871</v>
      </c>
      <c r="F463" s="2">
        <f t="shared" si="29"/>
        <v>0.000110423076923077</v>
      </c>
      <c r="G463" s="23">
        <f t="shared" si="31"/>
        <v>-0.000110423076923077</v>
      </c>
    </row>
    <row r="464" spans="1:10">
      <c r="A464" s="26">
        <v>45416</v>
      </c>
      <c r="B464" s="27">
        <v>65108.5</v>
      </c>
      <c r="C464" s="2">
        <f t="shared" si="30"/>
        <v>0.0134328474367855</v>
      </c>
      <c r="D464" s="2">
        <f t="shared" si="28"/>
        <v>0.0133434266356082</v>
      </c>
      <c r="E464" s="23">
        <v>0.02883</v>
      </c>
      <c r="F464" s="2">
        <f t="shared" si="29"/>
        <v>0.000110884615384615</v>
      </c>
      <c r="G464" s="23">
        <f t="shared" si="31"/>
        <v>0.0132325420202236</v>
      </c>
    </row>
    <row r="465" spans="1:10">
      <c r="A465" s="26">
        <v>45386</v>
      </c>
      <c r="B465" s="27">
        <v>65396.2</v>
      </c>
      <c r="C465" s="2">
        <f t="shared" si="30"/>
        <v>0.00441877788614385</v>
      </c>
      <c r="D465" s="2">
        <f t="shared" si="28"/>
        <v>0.0044090437519239</v>
      </c>
      <c r="E465" s="23">
        <v>0.02922</v>
      </c>
      <c r="F465" s="2">
        <f t="shared" si="29"/>
        <v>0.000112384615384615</v>
      </c>
      <c r="G465" s="23">
        <f t="shared" si="31"/>
        <v>0.00429665913653928</v>
      </c>
    </row>
    <row r="466" spans="1:10">
      <c r="A466" s="26">
        <v>45355</v>
      </c>
      <c r="B466" s="27">
        <v>63957.9</v>
      </c>
      <c r="C466" s="2">
        <f t="shared" si="30"/>
        <v>-0.021993632657555</v>
      </c>
      <c r="D466" s="2">
        <f t="shared" si="28"/>
        <v>-0.0222390983934162</v>
      </c>
      <c r="E466" s="23">
        <v>0.02915</v>
      </c>
      <c r="F466" s="2">
        <f t="shared" si="29"/>
        <v>0.000112115384615385</v>
      </c>
      <c r="G466" s="23">
        <f t="shared" si="31"/>
        <v>-0.0223512137780316</v>
      </c>
    </row>
    <row r="467" spans="1:10">
      <c r="A467" s="26">
        <v>45326</v>
      </c>
      <c r="B467" s="27">
        <v>64533.2</v>
      </c>
      <c r="C467" s="2">
        <f t="shared" si="30"/>
        <v>0.00899497950995883</v>
      </c>
      <c r="D467" s="2">
        <f t="shared" si="28"/>
        <v>0.00895476565042986</v>
      </c>
      <c r="E467" s="23">
        <v>0.02879</v>
      </c>
      <c r="F467" s="2">
        <f t="shared" si="29"/>
        <v>0.000110730769230769</v>
      </c>
      <c r="G467" s="23">
        <f t="shared" si="31"/>
        <v>0.00884403488119909</v>
      </c>
    </row>
    <row r="468" spans="1:10">
      <c r="A468" s="26">
        <v>45295</v>
      </c>
      <c r="B468" s="27">
        <v>64245.5</v>
      </c>
      <c r="C468" s="2">
        <f t="shared" si="30"/>
        <v>-0.00445817036812055</v>
      </c>
      <c r="D468" s="2">
        <f t="shared" si="28"/>
        <v>-0.00446813764454571</v>
      </c>
      <c r="E468" s="23">
        <v>0.02757</v>
      </c>
      <c r="F468" s="2">
        <f t="shared" si="29"/>
        <v>0.000106038461538462</v>
      </c>
      <c r="G468" s="23">
        <f t="shared" si="31"/>
        <v>-0.00457417610608417</v>
      </c>
    </row>
    <row r="469" spans="1:10">
      <c r="A469" s="28" t="s">
        <v>297</v>
      </c>
      <c r="B469" s="27">
        <v>64820.9</v>
      </c>
      <c r="C469" s="2">
        <f t="shared" si="30"/>
        <v>0.00895626931069104</v>
      </c>
      <c r="D469" s="2">
        <f t="shared" si="28"/>
        <v>0.00891639980854424</v>
      </c>
      <c r="E469" s="23">
        <v>0.02747</v>
      </c>
      <c r="F469" s="2">
        <f t="shared" si="29"/>
        <v>0.000105653846153846</v>
      </c>
      <c r="G469" s="23">
        <f t="shared" si="31"/>
        <v>0.0088107459623904</v>
      </c>
    </row>
    <row r="470" spans="1:10">
      <c r="A470" s="28" t="s">
        <v>298</v>
      </c>
      <c r="B470" s="27">
        <v>64916.8</v>
      </c>
      <c r="C470" s="2">
        <f t="shared" si="30"/>
        <v>0.00147946109973792</v>
      </c>
      <c r="D470" s="2">
        <f t="shared" si="28"/>
        <v>0.00147836777538619</v>
      </c>
      <c r="E470" s="23">
        <v>0.02678</v>
      </c>
      <c r="F470" s="2">
        <f t="shared" si="29"/>
        <v>0.000103</v>
      </c>
      <c r="G470" s="23">
        <f t="shared" si="31"/>
        <v>0.00137536777538619</v>
      </c>
    </row>
    <row r="471" spans="1:10">
      <c r="A471" s="28" t="s">
        <v>299</v>
      </c>
      <c r="B471" s="27">
        <v>64916.8</v>
      </c>
      <c r="C471" s="2">
        <f t="shared" si="30"/>
        <v>0</v>
      </c>
      <c r="D471" s="2">
        <f t="shared" si="28"/>
        <v>0</v>
      </c>
      <c r="E471" s="23">
        <v>0.02683</v>
      </c>
      <c r="F471" s="2">
        <f t="shared" si="29"/>
        <v>0.000103192307692308</v>
      </c>
      <c r="G471" s="23">
        <f t="shared" si="31"/>
        <v>-0.000103192307692308</v>
      </c>
    </row>
    <row r="472" spans="1:10">
      <c r="A472" s="28" t="s">
        <v>300</v>
      </c>
      <c r="B472" s="27">
        <v>64916.8</v>
      </c>
      <c r="C472" s="2">
        <f t="shared" si="30"/>
        <v>0</v>
      </c>
      <c r="D472" s="2">
        <f t="shared" si="28"/>
        <v>0</v>
      </c>
      <c r="E472" s="23">
        <v>0.02663</v>
      </c>
      <c r="F472" s="2">
        <f t="shared" si="29"/>
        <v>0.000102423076923077</v>
      </c>
      <c r="G472" s="23">
        <f t="shared" si="31"/>
        <v>-0.000102423076923077</v>
      </c>
    </row>
    <row r="473" spans="1:10">
      <c r="A473" s="28" t="s">
        <v>301</v>
      </c>
      <c r="B473" s="27">
        <v>64533.2</v>
      </c>
      <c r="C473" s="2">
        <f t="shared" si="30"/>
        <v>-0.00590910211224222</v>
      </c>
      <c r="D473" s="2">
        <f t="shared" si="28"/>
        <v>-0.00592662993938476</v>
      </c>
      <c r="E473" s="23">
        <v>0.02658</v>
      </c>
      <c r="F473" s="2">
        <f t="shared" si="29"/>
        <v>0.000102230769230769</v>
      </c>
      <c r="G473" s="23">
        <f t="shared" si="31"/>
        <v>-0.00602886070861553</v>
      </c>
      <c r="J473" s="21"/>
    </row>
    <row r="474" spans="1:10">
      <c r="A474" s="28" t="s">
        <v>302</v>
      </c>
      <c r="B474" s="27">
        <v>65012.6</v>
      </c>
      <c r="C474" s="2">
        <f t="shared" si="30"/>
        <v>0.00742873435688919</v>
      </c>
      <c r="D474" s="2">
        <f t="shared" si="28"/>
        <v>0.00740127720721531</v>
      </c>
      <c r="E474" s="23">
        <v>0.02636</v>
      </c>
      <c r="F474" s="2">
        <f t="shared" si="29"/>
        <v>0.000101384615384615</v>
      </c>
      <c r="G474" s="23">
        <f t="shared" si="31"/>
        <v>0.00729989259183069</v>
      </c>
      <c r="J474" s="21"/>
    </row>
    <row r="475" spans="1:10">
      <c r="A475" s="28" t="s">
        <v>303</v>
      </c>
      <c r="B475" s="27">
        <v>65588</v>
      </c>
      <c r="C475" s="2">
        <f t="shared" si="30"/>
        <v>0.00885059203908168</v>
      </c>
      <c r="D475" s="2">
        <f t="shared" si="28"/>
        <v>0.00881165512387686</v>
      </c>
      <c r="E475" s="23">
        <v>0.02619</v>
      </c>
      <c r="F475" s="2">
        <f t="shared" si="29"/>
        <v>0.000100730769230769</v>
      </c>
      <c r="G475" s="23">
        <f t="shared" si="31"/>
        <v>0.00871092435464609</v>
      </c>
      <c r="J475" s="21"/>
    </row>
    <row r="476" spans="1:10">
      <c r="A476" s="28" t="s">
        <v>304</v>
      </c>
      <c r="B476" s="27">
        <v>65204.4</v>
      </c>
      <c r="C476" s="2">
        <f t="shared" si="30"/>
        <v>-0.00584863084710616</v>
      </c>
      <c r="D476" s="2">
        <f t="shared" si="28"/>
        <v>-0.00586580106942542</v>
      </c>
      <c r="E476" s="23">
        <v>0.02641</v>
      </c>
      <c r="F476" s="2">
        <f t="shared" si="29"/>
        <v>0.000101576923076923</v>
      </c>
      <c r="G476" s="23">
        <f t="shared" si="31"/>
        <v>-0.00596737799250235</v>
      </c>
      <c r="J476" s="21"/>
    </row>
    <row r="477" spans="1:10">
      <c r="A477" s="28" t="s">
        <v>305</v>
      </c>
      <c r="B477" s="27">
        <v>65012.6</v>
      </c>
      <c r="C477" s="2">
        <f t="shared" si="30"/>
        <v>-0.00294151928397475</v>
      </c>
      <c r="D477" s="2">
        <f t="shared" si="28"/>
        <v>-0.00294585405445141</v>
      </c>
      <c r="E477" s="23">
        <v>0.02622</v>
      </c>
      <c r="F477" s="2">
        <f t="shared" si="29"/>
        <v>0.000100846153846154</v>
      </c>
      <c r="G477" s="23">
        <f t="shared" si="31"/>
        <v>-0.00304670020829756</v>
      </c>
      <c r="J477" s="21"/>
    </row>
    <row r="478" spans="1:10">
      <c r="A478" s="28" t="s">
        <v>306</v>
      </c>
      <c r="B478" s="27">
        <v>65108.5</v>
      </c>
      <c r="C478" s="2">
        <f t="shared" si="30"/>
        <v>0.0014750986731803</v>
      </c>
      <c r="D478" s="2">
        <f t="shared" si="28"/>
        <v>0.00147401178384732</v>
      </c>
      <c r="E478" s="23">
        <v>0.0263</v>
      </c>
      <c r="F478" s="2">
        <f t="shared" si="29"/>
        <v>0.000101153846153846</v>
      </c>
      <c r="G478" s="23">
        <f t="shared" si="31"/>
        <v>0.00137285793769348</v>
      </c>
      <c r="J478" s="21"/>
    </row>
    <row r="479" spans="1:10">
      <c r="A479" s="28" t="s">
        <v>307</v>
      </c>
      <c r="B479" s="27">
        <v>65971.5</v>
      </c>
      <c r="C479" s="2">
        <f t="shared" si="30"/>
        <v>0.0132547977606611</v>
      </c>
      <c r="D479" s="2">
        <f t="shared" si="28"/>
        <v>0.0131677215366951</v>
      </c>
      <c r="E479" s="23">
        <v>0.02623</v>
      </c>
      <c r="F479" s="2">
        <f t="shared" si="29"/>
        <v>0.000100884615384615</v>
      </c>
      <c r="G479" s="23">
        <f t="shared" si="31"/>
        <v>0.0130668369213105</v>
      </c>
      <c r="J479" s="21"/>
    </row>
    <row r="480" spans="1:10">
      <c r="A480" s="28" t="s">
        <v>308</v>
      </c>
      <c r="B480" s="27">
        <v>66738.6</v>
      </c>
      <c r="C480" s="2">
        <f t="shared" si="30"/>
        <v>0.0116277483458767</v>
      </c>
      <c r="D480" s="2">
        <f t="shared" si="28"/>
        <v>0.0115606655935395</v>
      </c>
      <c r="E480" s="23">
        <v>0.02607</v>
      </c>
      <c r="F480" s="2">
        <f t="shared" si="29"/>
        <v>0.000100269230769231</v>
      </c>
      <c r="G480" s="23">
        <f t="shared" si="31"/>
        <v>0.0114603963627702</v>
      </c>
      <c r="J480" s="21"/>
    </row>
    <row r="481" spans="1:10">
      <c r="A481" s="28" t="s">
        <v>309</v>
      </c>
      <c r="B481" s="27">
        <v>67022.6</v>
      </c>
      <c r="C481" s="2">
        <f t="shared" si="30"/>
        <v>0.00425540841432095</v>
      </c>
      <c r="D481" s="2">
        <f t="shared" ref="D481:D544" si="32">LN(B481/B480)</f>
        <v>0.00424637976858876</v>
      </c>
      <c r="E481" s="23">
        <v>0.02619</v>
      </c>
      <c r="F481" s="2">
        <f t="shared" si="29"/>
        <v>0.000100730769230769</v>
      </c>
      <c r="G481" s="23">
        <f t="shared" si="31"/>
        <v>0.00414564899935799</v>
      </c>
      <c r="J481" s="21"/>
    </row>
    <row r="482" spans="1:10">
      <c r="A482" s="26">
        <v>45629</v>
      </c>
      <c r="B482" s="27">
        <v>66265.3</v>
      </c>
      <c r="C482" s="2">
        <f t="shared" si="30"/>
        <v>-0.0112991737115541</v>
      </c>
      <c r="D482" s="2">
        <f t="shared" si="32"/>
        <v>-0.011363494347179</v>
      </c>
      <c r="E482" s="23">
        <v>0.02609</v>
      </c>
      <c r="F482" s="2">
        <f t="shared" si="29"/>
        <v>0.000100346153846154</v>
      </c>
      <c r="G482" s="23">
        <f t="shared" si="31"/>
        <v>-0.0114638405010252</v>
      </c>
      <c r="J482" s="21"/>
    </row>
    <row r="483" spans="1:10">
      <c r="A483" s="26">
        <v>45599</v>
      </c>
      <c r="B483" s="27">
        <v>66549.3</v>
      </c>
      <c r="C483" s="2">
        <f t="shared" si="30"/>
        <v>0.00428580267500487</v>
      </c>
      <c r="D483" s="2">
        <f t="shared" si="32"/>
        <v>0.00427664477935216</v>
      </c>
      <c r="E483" s="23">
        <v>0.02586</v>
      </c>
      <c r="F483" s="2">
        <f t="shared" si="29"/>
        <v>9.94615384615384e-5</v>
      </c>
      <c r="G483" s="23">
        <f t="shared" si="31"/>
        <v>0.00417718324089062</v>
      </c>
    </row>
    <row r="484" spans="1:10">
      <c r="A484" s="26">
        <v>45507</v>
      </c>
      <c r="B484" s="27">
        <v>66265.3</v>
      </c>
      <c r="C484" s="2">
        <f t="shared" si="30"/>
        <v>-0.00426751295656002</v>
      </c>
      <c r="D484" s="2">
        <f t="shared" si="32"/>
        <v>-0.00427664477935225</v>
      </c>
      <c r="E484" s="23">
        <v>0.02616</v>
      </c>
      <c r="F484" s="2">
        <f t="shared" si="29"/>
        <v>0.000100615384615385</v>
      </c>
      <c r="G484" s="23">
        <f t="shared" si="31"/>
        <v>-0.00437726016396763</v>
      </c>
    </row>
    <row r="485" spans="1:10">
      <c r="A485" s="26">
        <v>45476</v>
      </c>
      <c r="B485" s="27">
        <v>68158.6</v>
      </c>
      <c r="C485" s="2">
        <f t="shared" si="30"/>
        <v>0.0285715148048828</v>
      </c>
      <c r="D485" s="2">
        <f t="shared" si="32"/>
        <v>0.0281709608047734</v>
      </c>
      <c r="E485" s="23">
        <v>0.02495</v>
      </c>
      <c r="F485" s="2">
        <f t="shared" si="29"/>
        <v>9.59615384615385e-5</v>
      </c>
      <c r="G485" s="23">
        <f t="shared" si="31"/>
        <v>0.0280749992663118</v>
      </c>
    </row>
    <row r="486" spans="1:10">
      <c r="A486" s="26">
        <v>45446</v>
      </c>
      <c r="B486" s="27">
        <v>67969.3</v>
      </c>
      <c r="C486" s="2">
        <f t="shared" si="30"/>
        <v>-0.00277734577881592</v>
      </c>
      <c r="D486" s="2">
        <f t="shared" si="32"/>
        <v>-0.00278120975966908</v>
      </c>
      <c r="E486" s="23">
        <v>0.02427</v>
      </c>
      <c r="F486" s="2">
        <f t="shared" si="29"/>
        <v>9.33461538461538e-5</v>
      </c>
      <c r="G486" s="23">
        <f t="shared" si="31"/>
        <v>-0.00287455591351524</v>
      </c>
    </row>
    <row r="487" spans="1:10">
      <c r="A487" s="26">
        <v>45415</v>
      </c>
      <c r="B487" s="27">
        <v>69105.3</v>
      </c>
      <c r="C487" s="2">
        <f t="shared" si="30"/>
        <v>0.0167134279741001</v>
      </c>
      <c r="D487" s="2">
        <f t="shared" si="32"/>
        <v>0.0165752956221086</v>
      </c>
      <c r="E487" s="23">
        <v>0.02403</v>
      </c>
      <c r="F487" s="2">
        <f t="shared" si="29"/>
        <v>9.24230769230769e-5</v>
      </c>
      <c r="G487" s="23">
        <f t="shared" si="31"/>
        <v>0.0164828725451855</v>
      </c>
    </row>
    <row r="488" spans="1:10">
      <c r="A488" s="26">
        <v>45385</v>
      </c>
      <c r="B488" s="27">
        <v>68158.6</v>
      </c>
      <c r="C488" s="2">
        <f t="shared" si="30"/>
        <v>-0.013699383404746</v>
      </c>
      <c r="D488" s="2">
        <f t="shared" si="32"/>
        <v>-0.0137940858624395</v>
      </c>
      <c r="E488" s="23">
        <v>0.02406</v>
      </c>
      <c r="F488" s="2">
        <f t="shared" si="29"/>
        <v>9.25384615384615e-5</v>
      </c>
      <c r="G488" s="23">
        <f t="shared" si="31"/>
        <v>-0.0138866243239779</v>
      </c>
    </row>
    <row r="489" spans="1:10">
      <c r="A489" s="26">
        <v>45294</v>
      </c>
      <c r="B489" s="27">
        <v>67685.3</v>
      </c>
      <c r="C489" s="2">
        <f t="shared" si="30"/>
        <v>-0.00694409803018259</v>
      </c>
      <c r="D489" s="2">
        <f t="shared" si="32"/>
        <v>-0.00696832047941497</v>
      </c>
      <c r="E489" s="23">
        <v>0.02406</v>
      </c>
      <c r="F489" s="2">
        <f t="shared" si="29"/>
        <v>9.25384615384615e-5</v>
      </c>
      <c r="G489" s="23">
        <f t="shared" si="31"/>
        <v>-0.00706085894095343</v>
      </c>
    </row>
    <row r="490" spans="1:10">
      <c r="A490" s="28" t="s">
        <v>310</v>
      </c>
      <c r="B490" s="27">
        <v>68158.6</v>
      </c>
      <c r="C490" s="2">
        <f t="shared" si="30"/>
        <v>0.00699265571697256</v>
      </c>
      <c r="D490" s="2">
        <f t="shared" si="32"/>
        <v>0.00696832047941502</v>
      </c>
      <c r="E490" s="23">
        <v>0.02462</v>
      </c>
      <c r="F490" s="2">
        <f t="shared" si="29"/>
        <v>9.46923076923077e-5</v>
      </c>
      <c r="G490" s="23">
        <f t="shared" si="31"/>
        <v>0.00687362817172271</v>
      </c>
    </row>
    <row r="491" spans="1:10">
      <c r="A491" s="28" t="s">
        <v>311</v>
      </c>
      <c r="B491" s="27">
        <v>68347.9</v>
      </c>
      <c r="C491" s="2">
        <f t="shared" si="30"/>
        <v>0.00277734577881571</v>
      </c>
      <c r="D491" s="2">
        <f t="shared" si="32"/>
        <v>0.0027734960803433</v>
      </c>
      <c r="E491" s="23">
        <v>0.02378</v>
      </c>
      <c r="F491" s="2">
        <f t="shared" si="29"/>
        <v>9.14615384615385e-5</v>
      </c>
      <c r="G491" s="23">
        <f t="shared" si="31"/>
        <v>0.00268203454188176</v>
      </c>
    </row>
    <row r="492" spans="1:10">
      <c r="A492" s="28" t="s">
        <v>312</v>
      </c>
      <c r="B492" s="27">
        <v>68158.6</v>
      </c>
      <c r="C492" s="2">
        <f t="shared" si="30"/>
        <v>-0.0027696534933771</v>
      </c>
      <c r="D492" s="2">
        <f t="shared" si="32"/>
        <v>-0.0027734960803434</v>
      </c>
      <c r="E492" s="23">
        <v>0.02424</v>
      </c>
      <c r="F492" s="2">
        <f t="shared" si="29"/>
        <v>9.32307692307692e-5</v>
      </c>
      <c r="G492" s="23">
        <f t="shared" si="31"/>
        <v>-0.00286672684957417</v>
      </c>
    </row>
    <row r="493" spans="1:10">
      <c r="A493" s="28" t="s">
        <v>313</v>
      </c>
      <c r="B493" s="27">
        <v>67212</v>
      </c>
      <c r="C493" s="2">
        <f t="shared" si="30"/>
        <v>-0.0138881960603652</v>
      </c>
      <c r="D493" s="2">
        <f t="shared" si="32"/>
        <v>-0.0139855393883148</v>
      </c>
      <c r="E493" s="23">
        <v>0.02462</v>
      </c>
      <c r="F493" s="2">
        <f t="shared" si="29"/>
        <v>9.46923076923077e-5</v>
      </c>
      <c r="G493" s="23">
        <f t="shared" si="31"/>
        <v>-0.0140802316960071</v>
      </c>
    </row>
    <row r="494" spans="1:10">
      <c r="A494" s="28" t="s">
        <v>314</v>
      </c>
      <c r="B494" s="27">
        <v>67212</v>
      </c>
      <c r="C494" s="2">
        <f t="shared" si="30"/>
        <v>0</v>
      </c>
      <c r="D494" s="2">
        <f t="shared" si="32"/>
        <v>0</v>
      </c>
      <c r="E494" s="23">
        <v>0.02427</v>
      </c>
      <c r="F494" s="2">
        <f t="shared" si="29"/>
        <v>9.33461538461538e-5</v>
      </c>
      <c r="G494" s="23">
        <f t="shared" si="31"/>
        <v>-9.33461538461538e-5</v>
      </c>
    </row>
    <row r="495" spans="1:10">
      <c r="A495" s="28" t="s">
        <v>315</v>
      </c>
      <c r="B495" s="27">
        <v>67780</v>
      </c>
      <c r="C495" s="2">
        <f t="shared" si="30"/>
        <v>0.00845087186811879</v>
      </c>
      <c r="D495" s="2">
        <f t="shared" si="32"/>
        <v>0.00841536316320981</v>
      </c>
      <c r="E495" s="23">
        <v>0.0241</v>
      </c>
      <c r="F495" s="2">
        <f t="shared" si="29"/>
        <v>9.26923076923077e-5</v>
      </c>
      <c r="G495" s="23">
        <f t="shared" si="31"/>
        <v>0.0083226708555175</v>
      </c>
    </row>
    <row r="496" spans="1:10">
      <c r="A496" s="28" t="s">
        <v>316</v>
      </c>
      <c r="B496" s="27">
        <v>67496</v>
      </c>
      <c r="C496" s="2">
        <f t="shared" si="30"/>
        <v>-0.00419002655650634</v>
      </c>
      <c r="D496" s="2">
        <f t="shared" si="32"/>
        <v>-0.00419882931557968</v>
      </c>
      <c r="E496" s="23">
        <v>0.02385</v>
      </c>
      <c r="F496" s="2">
        <f t="shared" si="29"/>
        <v>9.17307692307692e-5</v>
      </c>
      <c r="G496" s="23">
        <f t="shared" si="31"/>
        <v>-0.00429056008481045</v>
      </c>
      <c r="J496" s="21"/>
    </row>
    <row r="497" spans="1:10">
      <c r="A497" s="28" t="s">
        <v>317</v>
      </c>
      <c r="B497" s="27">
        <v>67685.3</v>
      </c>
      <c r="C497" s="2">
        <f t="shared" si="30"/>
        <v>0.00280461064359374</v>
      </c>
      <c r="D497" s="2">
        <f t="shared" si="32"/>
        <v>0.00280068506126973</v>
      </c>
      <c r="E497" s="23">
        <v>0.02402</v>
      </c>
      <c r="F497" s="2">
        <f t="shared" si="29"/>
        <v>9.23846153846154e-5</v>
      </c>
      <c r="G497" s="23">
        <f t="shared" si="31"/>
        <v>0.00270830044588512</v>
      </c>
      <c r="J497" s="21"/>
    </row>
    <row r="498" spans="1:10">
      <c r="A498" s="28" t="s">
        <v>318</v>
      </c>
      <c r="B498" s="27">
        <v>68064</v>
      </c>
      <c r="C498" s="2">
        <f t="shared" si="30"/>
        <v>0.00559501102898262</v>
      </c>
      <c r="D498" s="2">
        <f t="shared" si="32"/>
        <v>0.00557941709323134</v>
      </c>
      <c r="E498" s="23">
        <v>0.02393</v>
      </c>
      <c r="F498" s="2">
        <f t="shared" si="29"/>
        <v>9.20384615384615e-5</v>
      </c>
      <c r="G498" s="23">
        <f t="shared" si="31"/>
        <v>0.00548737863169288</v>
      </c>
      <c r="J498" s="21"/>
    </row>
    <row r="499" spans="1:10">
      <c r="A499" s="28" t="s">
        <v>319</v>
      </c>
      <c r="B499" s="27">
        <v>66265.3</v>
      </c>
      <c r="C499" s="2">
        <f t="shared" si="30"/>
        <v>-0.0264265984955336</v>
      </c>
      <c r="D499" s="2">
        <f t="shared" si="32"/>
        <v>-0.0267820574185897</v>
      </c>
      <c r="E499" s="23">
        <v>0.02382</v>
      </c>
      <c r="F499" s="2">
        <f t="shared" si="29"/>
        <v>9.16153846153846e-5</v>
      </c>
      <c r="G499" s="23">
        <f t="shared" si="31"/>
        <v>-0.026873672803205</v>
      </c>
      <c r="J499" s="21"/>
    </row>
    <row r="500" spans="1:10">
      <c r="A500" s="28" t="s">
        <v>320</v>
      </c>
      <c r="B500" s="27">
        <v>63993.4</v>
      </c>
      <c r="C500" s="2">
        <f t="shared" si="30"/>
        <v>-0.03428491231459</v>
      </c>
      <c r="D500" s="2">
        <f t="shared" si="32"/>
        <v>-0.0348864285573135</v>
      </c>
      <c r="E500" s="23">
        <v>0.02398</v>
      </c>
      <c r="F500" s="2">
        <f t="shared" si="29"/>
        <v>9.22307692307692e-5</v>
      </c>
      <c r="G500" s="23">
        <f t="shared" si="31"/>
        <v>-0.0349786593265442</v>
      </c>
      <c r="J500" s="21"/>
    </row>
    <row r="501" spans="1:10">
      <c r="A501" s="26">
        <v>45475</v>
      </c>
      <c r="B501" s="27">
        <v>63993.4</v>
      </c>
      <c r="C501" s="2">
        <f t="shared" si="30"/>
        <v>0</v>
      </c>
      <c r="D501" s="2">
        <f t="shared" si="32"/>
        <v>0</v>
      </c>
      <c r="E501" s="23">
        <v>0.02405</v>
      </c>
      <c r="F501" s="2">
        <f t="shared" si="29"/>
        <v>9.25e-5</v>
      </c>
      <c r="G501" s="23">
        <f t="shared" si="31"/>
        <v>-9.25e-5</v>
      </c>
      <c r="J501" s="21"/>
    </row>
    <row r="502" spans="1:10">
      <c r="A502" s="26">
        <v>45445</v>
      </c>
      <c r="B502" s="27">
        <v>63993.4</v>
      </c>
      <c r="C502" s="2">
        <f t="shared" si="30"/>
        <v>0</v>
      </c>
      <c r="D502" s="2">
        <f t="shared" si="32"/>
        <v>0</v>
      </c>
      <c r="E502" s="23">
        <v>0.02422</v>
      </c>
      <c r="F502" s="2">
        <f t="shared" si="29"/>
        <v>9.31538461538462e-5</v>
      </c>
      <c r="G502" s="23">
        <f t="shared" si="31"/>
        <v>-9.31538461538462e-5</v>
      </c>
      <c r="J502" s="21"/>
    </row>
    <row r="503" spans="1:10">
      <c r="A503" s="26">
        <v>45414</v>
      </c>
      <c r="B503" s="27">
        <v>64372</v>
      </c>
      <c r="C503" s="2">
        <f t="shared" si="30"/>
        <v>0.00591623511174588</v>
      </c>
      <c r="D503" s="2">
        <f t="shared" si="32"/>
        <v>0.00589880291432496</v>
      </c>
      <c r="E503" s="23">
        <v>0.02438</v>
      </c>
      <c r="F503" s="2">
        <f t="shared" si="29"/>
        <v>9.37692307692308e-5</v>
      </c>
      <c r="G503" s="23">
        <f t="shared" si="31"/>
        <v>0.00580503368355573</v>
      </c>
      <c r="J503" s="21"/>
    </row>
    <row r="504" spans="1:10">
      <c r="A504" s="26">
        <v>45324</v>
      </c>
      <c r="B504" s="27">
        <v>63804</v>
      </c>
      <c r="C504" s="2">
        <f t="shared" si="30"/>
        <v>-0.00882371217299447</v>
      </c>
      <c r="D504" s="2">
        <f t="shared" si="32"/>
        <v>-0.0088628716460467</v>
      </c>
      <c r="E504" s="23">
        <v>0.02405</v>
      </c>
      <c r="F504" s="2">
        <f t="shared" si="29"/>
        <v>9.25e-5</v>
      </c>
      <c r="G504" s="23">
        <f t="shared" si="31"/>
        <v>-0.0089553716460467</v>
      </c>
    </row>
    <row r="505" spans="1:10">
      <c r="A505" s="26">
        <v>45293</v>
      </c>
      <c r="B505" s="27">
        <v>63898.7</v>
      </c>
      <c r="C505" s="2">
        <f t="shared" si="30"/>
        <v>0.00148423296345052</v>
      </c>
      <c r="D505" s="2">
        <f t="shared" si="32"/>
        <v>0.00148313257838963</v>
      </c>
      <c r="E505" s="23">
        <v>0.02413</v>
      </c>
      <c r="F505" s="2">
        <f t="shared" si="29"/>
        <v>9.28076923076923e-5</v>
      </c>
      <c r="G505" s="23">
        <f t="shared" si="31"/>
        <v>0.00139032488608194</v>
      </c>
    </row>
    <row r="506" spans="1:10">
      <c r="A506" s="28" t="s">
        <v>321</v>
      </c>
      <c r="B506" s="27">
        <v>63425.4</v>
      </c>
      <c r="C506" s="2">
        <f t="shared" si="30"/>
        <v>-0.00740703644988076</v>
      </c>
      <c r="D506" s="2">
        <f t="shared" si="32"/>
        <v>-0.00743460476172148</v>
      </c>
      <c r="E506" s="23">
        <v>0.02422</v>
      </c>
      <c r="F506" s="2">
        <f t="shared" si="29"/>
        <v>9.31538461538462e-5</v>
      </c>
      <c r="G506" s="23">
        <f t="shared" si="31"/>
        <v>-0.00752775860787532</v>
      </c>
    </row>
    <row r="507" spans="1:10">
      <c r="A507" s="28" t="s">
        <v>322</v>
      </c>
      <c r="B507" s="27">
        <v>63330.7</v>
      </c>
      <c r="C507" s="2">
        <f t="shared" si="30"/>
        <v>-0.00149309267265172</v>
      </c>
      <c r="D507" s="2">
        <f t="shared" si="32"/>
        <v>-0.00149420844629023</v>
      </c>
      <c r="E507" s="23">
        <v>0.02397</v>
      </c>
      <c r="F507" s="2">
        <f t="shared" si="29"/>
        <v>9.21923076923077e-5</v>
      </c>
      <c r="G507" s="23">
        <f t="shared" si="31"/>
        <v>-0.00158640075398254</v>
      </c>
    </row>
    <row r="508" spans="1:10">
      <c r="A508" s="28" t="s">
        <v>323</v>
      </c>
      <c r="B508" s="27">
        <v>63425.4</v>
      </c>
      <c r="C508" s="2">
        <f t="shared" si="30"/>
        <v>0.00149532533194808</v>
      </c>
      <c r="D508" s="2">
        <f t="shared" si="32"/>
        <v>0.0014942084462902</v>
      </c>
      <c r="E508" s="23">
        <v>0.02379</v>
      </c>
      <c r="F508" s="2">
        <f t="shared" si="29"/>
        <v>9.15e-5</v>
      </c>
      <c r="G508" s="23">
        <f t="shared" si="31"/>
        <v>0.0014027084462902</v>
      </c>
    </row>
    <row r="509" spans="1:10">
      <c r="A509" s="28" t="s">
        <v>324</v>
      </c>
      <c r="B509" s="27">
        <v>63425.4</v>
      </c>
      <c r="C509" s="2">
        <f t="shared" si="30"/>
        <v>0</v>
      </c>
      <c r="D509" s="2">
        <f t="shared" si="32"/>
        <v>0</v>
      </c>
      <c r="E509" s="23">
        <v>0.02401</v>
      </c>
      <c r="F509" s="2">
        <f t="shared" si="29"/>
        <v>9.23461538461538e-5</v>
      </c>
      <c r="G509" s="23">
        <f t="shared" si="31"/>
        <v>-9.23461538461538e-5</v>
      </c>
    </row>
    <row r="510" spans="1:10">
      <c r="A510" s="28" t="s">
        <v>325</v>
      </c>
      <c r="B510" s="27">
        <v>63330.7</v>
      </c>
      <c r="C510" s="2">
        <f t="shared" si="30"/>
        <v>-0.00149309267265172</v>
      </c>
      <c r="D510" s="2">
        <f t="shared" si="32"/>
        <v>-0.00149420844629023</v>
      </c>
      <c r="E510" s="23">
        <v>0.02369</v>
      </c>
      <c r="F510" s="2">
        <f t="shared" si="29"/>
        <v>9.11153846153846e-5</v>
      </c>
      <c r="G510" s="23">
        <f t="shared" si="31"/>
        <v>-0.00158532383090562</v>
      </c>
    </row>
    <row r="511" spans="1:10">
      <c r="A511" s="28" t="s">
        <v>326</v>
      </c>
      <c r="B511" s="27">
        <v>63709.4</v>
      </c>
      <c r="C511" s="2">
        <f t="shared" si="30"/>
        <v>0.00597972231477</v>
      </c>
      <c r="D511" s="2">
        <f t="shared" si="32"/>
        <v>0.00596191472963608</v>
      </c>
      <c r="E511" s="23">
        <v>0.02297</v>
      </c>
      <c r="F511" s="2">
        <f t="shared" si="29"/>
        <v>8.83461538461538e-5</v>
      </c>
      <c r="G511" s="23">
        <f t="shared" si="31"/>
        <v>0.00587356857578992</v>
      </c>
    </row>
    <row r="512" spans="1:10">
      <c r="A512" s="28" t="s">
        <v>327</v>
      </c>
      <c r="B512" s="27">
        <v>64088</v>
      </c>
      <c r="C512" s="2">
        <f t="shared" si="30"/>
        <v>0.00594260815515448</v>
      </c>
      <c r="D512" s="2">
        <f t="shared" si="32"/>
        <v>0.00592502050260006</v>
      </c>
      <c r="E512" s="23">
        <v>0.02313</v>
      </c>
      <c r="F512" s="2">
        <f t="shared" si="29"/>
        <v>8.89615384615385e-5</v>
      </c>
      <c r="G512" s="23">
        <f t="shared" si="31"/>
        <v>0.00583605896413852</v>
      </c>
    </row>
    <row r="513" spans="1:10">
      <c r="A513" s="28" t="s">
        <v>328</v>
      </c>
      <c r="B513" s="27">
        <v>64656</v>
      </c>
      <c r="C513" s="2">
        <f t="shared" si="30"/>
        <v>0.00886281363125702</v>
      </c>
      <c r="D513" s="2">
        <f t="shared" si="32"/>
        <v>0.00882376942330212</v>
      </c>
      <c r="E513" s="23">
        <v>0.02358</v>
      </c>
      <c r="F513" s="2">
        <f t="shared" si="29"/>
        <v>9.06923076923077e-5</v>
      </c>
      <c r="G513" s="23">
        <f t="shared" si="31"/>
        <v>0.00873307711560981</v>
      </c>
    </row>
    <row r="514" spans="1:10">
      <c r="A514" s="28" t="s">
        <v>329</v>
      </c>
      <c r="B514" s="27">
        <v>64372</v>
      </c>
      <c r="C514" s="2">
        <f t="shared" si="30"/>
        <v>-0.00439247710962633</v>
      </c>
      <c r="D514" s="2">
        <f t="shared" si="32"/>
        <v>-0.00440215237986943</v>
      </c>
      <c r="E514" s="23">
        <v>0.02376</v>
      </c>
      <c r="F514" s="2">
        <f t="shared" si="29"/>
        <v>9.13846153846154e-5</v>
      </c>
      <c r="G514" s="23">
        <f t="shared" si="31"/>
        <v>-0.00449353699525404</v>
      </c>
    </row>
    <row r="515" spans="1:10">
      <c r="A515" s="28" t="s">
        <v>330</v>
      </c>
      <c r="B515" s="27">
        <v>63804</v>
      </c>
      <c r="C515" s="2">
        <f t="shared" si="30"/>
        <v>-0.00882371217299447</v>
      </c>
      <c r="D515" s="2">
        <f t="shared" si="32"/>
        <v>-0.0088628716460467</v>
      </c>
      <c r="E515" s="23">
        <v>0.02351</v>
      </c>
      <c r="F515" s="2">
        <f t="shared" ref="F515:F578" si="33">E515/260</f>
        <v>9.04230769230769e-5</v>
      </c>
      <c r="G515" s="23">
        <f t="shared" si="31"/>
        <v>-0.00895329472296978</v>
      </c>
    </row>
    <row r="516" spans="1:10">
      <c r="A516" s="28" t="s">
        <v>331</v>
      </c>
      <c r="B516" s="27">
        <v>63520</v>
      </c>
      <c r="C516" s="2">
        <f t="shared" ref="C516:C579" si="34">(B516-B515)/B515</f>
        <v>-0.00445113159049589</v>
      </c>
      <c r="D516" s="2">
        <f t="shared" si="32"/>
        <v>-0.00446106737132149</v>
      </c>
      <c r="E516" s="23">
        <v>0.02358</v>
      </c>
      <c r="F516" s="2">
        <f t="shared" si="33"/>
        <v>9.06923076923077e-5</v>
      </c>
      <c r="G516" s="23">
        <f t="shared" ref="G516:G579" si="35">D516-F516</f>
        <v>-0.0045517596790138</v>
      </c>
    </row>
    <row r="517" spans="1:10">
      <c r="A517" s="28" t="s">
        <v>332</v>
      </c>
      <c r="B517" s="27">
        <v>63804</v>
      </c>
      <c r="C517" s="2">
        <f t="shared" si="34"/>
        <v>0.00447103274559194</v>
      </c>
      <c r="D517" s="2">
        <f t="shared" si="32"/>
        <v>0.00446106737132142</v>
      </c>
      <c r="E517" s="23">
        <v>0.02321</v>
      </c>
      <c r="F517" s="2">
        <f t="shared" si="33"/>
        <v>8.92692307692308e-5</v>
      </c>
      <c r="G517" s="23">
        <f t="shared" si="35"/>
        <v>0.00437179814055219</v>
      </c>
      <c r="J517" s="21"/>
    </row>
    <row r="518" spans="1:10">
      <c r="A518" s="28" t="s">
        <v>333</v>
      </c>
      <c r="B518" s="27">
        <v>63425.4</v>
      </c>
      <c r="C518" s="2">
        <f t="shared" si="34"/>
        <v>-0.00593379725409063</v>
      </c>
      <c r="D518" s="2">
        <f t="shared" si="32"/>
        <v>-0.00595147218333191</v>
      </c>
      <c r="E518" s="23">
        <v>0.02323</v>
      </c>
      <c r="F518" s="2">
        <f t="shared" si="33"/>
        <v>8.93461538461538e-5</v>
      </c>
      <c r="G518" s="23">
        <f t="shared" si="35"/>
        <v>-0.00604081833717806</v>
      </c>
      <c r="J518" s="21"/>
    </row>
    <row r="519" spans="1:10">
      <c r="A519" s="26">
        <v>45627</v>
      </c>
      <c r="B519" s="27">
        <v>63614.7</v>
      </c>
      <c r="C519" s="2">
        <f t="shared" si="34"/>
        <v>0.00298460868989389</v>
      </c>
      <c r="D519" s="2">
        <f t="shared" si="32"/>
        <v>0.00298016358777532</v>
      </c>
      <c r="E519" s="23">
        <v>0.02328</v>
      </c>
      <c r="F519" s="2">
        <f t="shared" si="33"/>
        <v>8.95384615384615e-5</v>
      </c>
      <c r="G519" s="23">
        <f t="shared" si="35"/>
        <v>0.00289062512623686</v>
      </c>
      <c r="J519" s="21"/>
    </row>
    <row r="520" spans="1:10">
      <c r="A520" s="26">
        <v>45597</v>
      </c>
      <c r="B520" s="27">
        <v>64277.4</v>
      </c>
      <c r="C520" s="2">
        <f t="shared" si="34"/>
        <v>0.0104174035246571</v>
      </c>
      <c r="D520" s="2">
        <f t="shared" si="32"/>
        <v>0.010363516296797</v>
      </c>
      <c r="E520" s="23">
        <v>0.02321</v>
      </c>
      <c r="F520" s="2">
        <f t="shared" si="33"/>
        <v>8.92692307692308e-5</v>
      </c>
      <c r="G520" s="23">
        <f t="shared" si="35"/>
        <v>0.0102742470660278</v>
      </c>
      <c r="J520" s="21"/>
    </row>
    <row r="521" spans="1:10">
      <c r="A521" s="26">
        <v>45566</v>
      </c>
      <c r="B521" s="27">
        <v>63898.7</v>
      </c>
      <c r="C521" s="2">
        <f t="shared" si="34"/>
        <v>-0.00589165087573555</v>
      </c>
      <c r="D521" s="2">
        <f t="shared" si="32"/>
        <v>-0.00590907512285071</v>
      </c>
      <c r="E521" s="23">
        <v>0.02319</v>
      </c>
      <c r="F521" s="2">
        <f t="shared" si="33"/>
        <v>8.91923076923077e-5</v>
      </c>
      <c r="G521" s="23">
        <f t="shared" si="35"/>
        <v>-0.00599826743054302</v>
      </c>
      <c r="J521" s="21"/>
    </row>
    <row r="522" spans="1:10">
      <c r="A522" s="26">
        <v>45536</v>
      </c>
      <c r="B522" s="27">
        <v>64466.7</v>
      </c>
      <c r="C522" s="2">
        <f t="shared" si="34"/>
        <v>0.0088890697306831</v>
      </c>
      <c r="D522" s="2">
        <f t="shared" si="32"/>
        <v>0.00884979452544097</v>
      </c>
      <c r="E522" s="23">
        <v>0.02308</v>
      </c>
      <c r="F522" s="2">
        <f t="shared" si="33"/>
        <v>8.87692307692308e-5</v>
      </c>
      <c r="G522" s="23">
        <f t="shared" si="35"/>
        <v>0.00876102529467174</v>
      </c>
      <c r="J522" s="21"/>
    </row>
    <row r="523" spans="1:10">
      <c r="A523" s="26">
        <v>45505</v>
      </c>
      <c r="B523" s="27">
        <v>64561.4</v>
      </c>
      <c r="C523" s="2">
        <f t="shared" si="34"/>
        <v>0.00146897545554533</v>
      </c>
      <c r="D523" s="2">
        <f t="shared" si="32"/>
        <v>0.0014678975665666</v>
      </c>
      <c r="E523" s="23">
        <v>0.02309</v>
      </c>
      <c r="F523" s="2">
        <f t="shared" si="33"/>
        <v>8.88076923076923e-5</v>
      </c>
      <c r="G523" s="23">
        <f t="shared" si="35"/>
        <v>0.00137908987425891</v>
      </c>
      <c r="J523" s="21"/>
    </row>
    <row r="524" spans="1:10">
      <c r="A524" s="26">
        <v>45413</v>
      </c>
      <c r="B524" s="27">
        <v>65129.3</v>
      </c>
      <c r="C524" s="2">
        <f t="shared" si="34"/>
        <v>0.00879627765197163</v>
      </c>
      <c r="D524" s="2">
        <f t="shared" si="32"/>
        <v>0.00875781578465537</v>
      </c>
      <c r="E524" s="23">
        <v>0.02369</v>
      </c>
      <c r="F524" s="2">
        <f t="shared" si="33"/>
        <v>9.11153846153846e-5</v>
      </c>
      <c r="G524" s="23">
        <f t="shared" si="35"/>
        <v>0.00866670040003998</v>
      </c>
      <c r="J524" s="21"/>
    </row>
    <row r="525" spans="1:10">
      <c r="A525" s="26">
        <v>45383</v>
      </c>
      <c r="B525" s="27">
        <v>65318.7</v>
      </c>
      <c r="C525" s="2">
        <f t="shared" si="34"/>
        <v>0.00290806134873236</v>
      </c>
      <c r="D525" s="2">
        <f t="shared" si="32"/>
        <v>0.00290384111814174</v>
      </c>
      <c r="E525" s="23">
        <v>0.02385</v>
      </c>
      <c r="F525" s="2">
        <f t="shared" si="33"/>
        <v>9.17307692307692e-5</v>
      </c>
      <c r="G525" s="23">
        <f t="shared" si="35"/>
        <v>0.00281211034891097</v>
      </c>
    </row>
    <row r="526" spans="1:10">
      <c r="A526" s="26">
        <v>45352</v>
      </c>
      <c r="B526" s="27">
        <v>65318.7</v>
      </c>
      <c r="C526" s="2">
        <f t="shared" si="34"/>
        <v>0</v>
      </c>
      <c r="D526" s="2">
        <f t="shared" si="32"/>
        <v>0</v>
      </c>
      <c r="E526" s="23">
        <v>0.02428</v>
      </c>
      <c r="F526" s="2">
        <f t="shared" si="33"/>
        <v>9.33846153846154e-5</v>
      </c>
      <c r="G526" s="23">
        <f t="shared" si="35"/>
        <v>-9.33846153846154e-5</v>
      </c>
    </row>
    <row r="527" spans="1:10">
      <c r="A527" s="26">
        <v>45323</v>
      </c>
      <c r="B527" s="27">
        <v>64656</v>
      </c>
      <c r="C527" s="2">
        <f t="shared" si="34"/>
        <v>-0.0101456397631918</v>
      </c>
      <c r="D527" s="2">
        <f t="shared" si="32"/>
        <v>-0.0101974575472781</v>
      </c>
      <c r="E527" s="23">
        <v>0.02396</v>
      </c>
      <c r="F527" s="2">
        <f t="shared" si="33"/>
        <v>9.21538461538462e-5</v>
      </c>
      <c r="G527" s="23">
        <f t="shared" si="35"/>
        <v>-0.0102896113934319</v>
      </c>
    </row>
    <row r="528" spans="1:10">
      <c r="A528" s="28" t="s">
        <v>334</v>
      </c>
      <c r="B528" s="27">
        <v>63993.4</v>
      </c>
      <c r="C528" s="2">
        <f t="shared" si="34"/>
        <v>-0.0102480821578817</v>
      </c>
      <c r="D528" s="2">
        <f t="shared" si="32"/>
        <v>-0.0103009552941943</v>
      </c>
      <c r="E528" s="23">
        <v>0.02393</v>
      </c>
      <c r="F528" s="2">
        <f t="shared" si="33"/>
        <v>9.20384615384615e-5</v>
      </c>
      <c r="G528" s="23">
        <f t="shared" si="35"/>
        <v>-0.0103929937557328</v>
      </c>
    </row>
    <row r="529" spans="1:10">
      <c r="A529" s="28" t="s">
        <v>335</v>
      </c>
      <c r="B529" s="27">
        <v>64845.4</v>
      </c>
      <c r="C529" s="2">
        <f t="shared" si="34"/>
        <v>0.0133138729931524</v>
      </c>
      <c r="D529" s="2">
        <f t="shared" si="32"/>
        <v>0.0132260222825427</v>
      </c>
      <c r="E529" s="23">
        <v>0.02369</v>
      </c>
      <c r="F529" s="2">
        <f t="shared" si="33"/>
        <v>9.11153846153846e-5</v>
      </c>
      <c r="G529" s="23">
        <f t="shared" si="35"/>
        <v>0.0131349068979273</v>
      </c>
    </row>
    <row r="530" spans="1:10">
      <c r="A530" s="28" t="s">
        <v>336</v>
      </c>
      <c r="B530" s="27">
        <v>63898.7</v>
      </c>
      <c r="C530" s="2">
        <f t="shared" si="34"/>
        <v>-0.0145993393517505</v>
      </c>
      <c r="D530" s="2">
        <f t="shared" si="32"/>
        <v>-0.0147069584358749</v>
      </c>
      <c r="E530" s="23">
        <v>0.0236</v>
      </c>
      <c r="F530" s="2">
        <f t="shared" si="33"/>
        <v>9.07692307692308e-5</v>
      </c>
      <c r="G530" s="23">
        <f t="shared" si="35"/>
        <v>-0.0147977276666441</v>
      </c>
    </row>
    <row r="531" spans="1:10">
      <c r="A531" s="28" t="s">
        <v>337</v>
      </c>
      <c r="B531" s="27">
        <v>63898.7</v>
      </c>
      <c r="C531" s="2">
        <f t="shared" si="34"/>
        <v>0</v>
      </c>
      <c r="D531" s="2">
        <f t="shared" si="32"/>
        <v>0</v>
      </c>
      <c r="E531" s="23">
        <v>0.02359</v>
      </c>
      <c r="F531" s="2">
        <f t="shared" si="33"/>
        <v>9.07307692307692e-5</v>
      </c>
      <c r="G531" s="23">
        <f t="shared" si="35"/>
        <v>-9.07307692307692e-5</v>
      </c>
    </row>
    <row r="532" spans="1:10">
      <c r="A532" s="28" t="s">
        <v>338</v>
      </c>
      <c r="B532" s="27">
        <v>63804.7</v>
      </c>
      <c r="C532" s="2">
        <f t="shared" si="34"/>
        <v>-0.00147107844134544</v>
      </c>
      <c r="D532" s="2">
        <f t="shared" si="32"/>
        <v>-0.00147216153958101</v>
      </c>
      <c r="E532" s="23">
        <v>0.02358</v>
      </c>
      <c r="F532" s="2">
        <f t="shared" si="33"/>
        <v>9.06923076923077e-5</v>
      </c>
      <c r="G532" s="23">
        <f t="shared" si="35"/>
        <v>-0.00156285384727332</v>
      </c>
    </row>
    <row r="533" spans="1:10">
      <c r="A533" s="28" t="s">
        <v>339</v>
      </c>
      <c r="B533" s="27">
        <v>63522.8</v>
      </c>
      <c r="C533" s="2">
        <f t="shared" si="34"/>
        <v>-0.00441816982134536</v>
      </c>
      <c r="D533" s="2">
        <f t="shared" si="32"/>
        <v>-0.00442795877711725</v>
      </c>
      <c r="E533" s="23">
        <v>0.02359</v>
      </c>
      <c r="F533" s="2">
        <f t="shared" si="33"/>
        <v>9.07307692307692e-5</v>
      </c>
      <c r="G533" s="23">
        <f t="shared" si="35"/>
        <v>-0.00451868954634801</v>
      </c>
    </row>
    <row r="534" spans="1:10">
      <c r="A534" s="28" t="s">
        <v>340</v>
      </c>
      <c r="B534" s="27">
        <v>63710.8</v>
      </c>
      <c r="C534" s="2">
        <f t="shared" si="34"/>
        <v>0.00295956727348291</v>
      </c>
      <c r="D534" s="2">
        <f t="shared" si="32"/>
        <v>0.00295519637611283</v>
      </c>
      <c r="E534" s="23">
        <v>0.02347</v>
      </c>
      <c r="F534" s="2">
        <f t="shared" si="33"/>
        <v>9.02692307692308e-5</v>
      </c>
      <c r="G534" s="23">
        <f t="shared" si="35"/>
        <v>0.0028649271453436</v>
      </c>
    </row>
    <row r="535" spans="1:10">
      <c r="A535" s="28" t="s">
        <v>341</v>
      </c>
      <c r="B535" s="27">
        <v>63992.7</v>
      </c>
      <c r="C535" s="2">
        <f t="shared" si="34"/>
        <v>0.00442468152966207</v>
      </c>
      <c r="D535" s="2">
        <f t="shared" si="32"/>
        <v>0.00441492140604435</v>
      </c>
      <c r="E535" s="23">
        <v>0.02356</v>
      </c>
      <c r="F535" s="2">
        <f t="shared" si="33"/>
        <v>9.06153846153846e-5</v>
      </c>
      <c r="G535" s="23">
        <f t="shared" si="35"/>
        <v>0.00432430602142896</v>
      </c>
    </row>
    <row r="536" spans="1:10">
      <c r="A536" s="28" t="s">
        <v>342</v>
      </c>
      <c r="B536" s="27">
        <v>62959</v>
      </c>
      <c r="C536" s="2">
        <f t="shared" si="34"/>
        <v>-0.0161534049977575</v>
      </c>
      <c r="D536" s="2">
        <f t="shared" si="32"/>
        <v>-0.0162852934714213</v>
      </c>
      <c r="E536" s="23">
        <v>0.02376</v>
      </c>
      <c r="F536" s="2">
        <f t="shared" si="33"/>
        <v>9.13846153846154e-5</v>
      </c>
      <c r="G536" s="23">
        <f t="shared" si="35"/>
        <v>-0.016376678086806</v>
      </c>
    </row>
    <row r="537" spans="1:10">
      <c r="A537" s="28" t="s">
        <v>343</v>
      </c>
      <c r="B537" s="27">
        <v>62959</v>
      </c>
      <c r="C537" s="2">
        <f t="shared" si="34"/>
        <v>0</v>
      </c>
      <c r="D537" s="2">
        <f t="shared" si="32"/>
        <v>0</v>
      </c>
      <c r="E537" s="23">
        <v>0.02385</v>
      </c>
      <c r="F537" s="2">
        <f t="shared" si="33"/>
        <v>9.17307692307692e-5</v>
      </c>
      <c r="G537" s="23">
        <f t="shared" si="35"/>
        <v>-9.17307692307692e-5</v>
      </c>
    </row>
    <row r="538" spans="1:10">
      <c r="A538" s="28" t="s">
        <v>344</v>
      </c>
      <c r="B538" s="27">
        <v>63992.7</v>
      </c>
      <c r="C538" s="2">
        <f t="shared" si="34"/>
        <v>0.0164186216426563</v>
      </c>
      <c r="D538" s="2">
        <f t="shared" si="32"/>
        <v>0.0162852934714213</v>
      </c>
      <c r="E538" s="23">
        <v>0.02361</v>
      </c>
      <c r="F538" s="2">
        <f t="shared" si="33"/>
        <v>9.08076923076923e-5</v>
      </c>
      <c r="G538" s="23">
        <f t="shared" si="35"/>
        <v>0.0161944857791136</v>
      </c>
      <c r="J538" s="21"/>
    </row>
    <row r="539" spans="1:10">
      <c r="A539" s="28" t="s">
        <v>345</v>
      </c>
      <c r="B539" s="27">
        <v>64274.6</v>
      </c>
      <c r="C539" s="2">
        <f t="shared" si="34"/>
        <v>0.00440518996698063</v>
      </c>
      <c r="D539" s="2">
        <f t="shared" si="32"/>
        <v>0.00439551551910626</v>
      </c>
      <c r="E539" s="23">
        <v>0.02399</v>
      </c>
      <c r="F539" s="2">
        <f t="shared" si="33"/>
        <v>9.22692307692308e-5</v>
      </c>
      <c r="G539" s="23">
        <f t="shared" si="35"/>
        <v>0.00430324628833703</v>
      </c>
      <c r="J539" s="21"/>
    </row>
    <row r="540" spans="1:10">
      <c r="A540" s="28" t="s">
        <v>346</v>
      </c>
      <c r="B540" s="27">
        <v>64086.6</v>
      </c>
      <c r="C540" s="2">
        <f t="shared" si="34"/>
        <v>-0.00292495013582348</v>
      </c>
      <c r="D540" s="2">
        <f t="shared" si="32"/>
        <v>-0.00292923616212115</v>
      </c>
      <c r="E540" s="23">
        <v>0.02479</v>
      </c>
      <c r="F540" s="2">
        <f t="shared" si="33"/>
        <v>9.53461538461538e-5</v>
      </c>
      <c r="G540" s="23">
        <f t="shared" si="35"/>
        <v>-0.0030245823159673</v>
      </c>
      <c r="J540" s="21"/>
    </row>
    <row r="541" spans="1:10">
      <c r="A541" s="26">
        <v>45272</v>
      </c>
      <c r="B541" s="27">
        <v>65214.3</v>
      </c>
      <c r="C541" s="2">
        <f t="shared" si="34"/>
        <v>0.0175965022329162</v>
      </c>
      <c r="D541" s="2">
        <f t="shared" si="32"/>
        <v>0.0174434763267009</v>
      </c>
      <c r="E541" s="23">
        <v>0.02491</v>
      </c>
      <c r="F541" s="2">
        <f t="shared" si="33"/>
        <v>9.58076923076923e-5</v>
      </c>
      <c r="G541" s="23">
        <f t="shared" si="35"/>
        <v>0.0173476686343932</v>
      </c>
      <c r="J541" s="21"/>
    </row>
    <row r="542" spans="1:10">
      <c r="A542" s="26">
        <v>45242</v>
      </c>
      <c r="B542" s="27">
        <v>65778.1</v>
      </c>
      <c r="C542" s="2">
        <f t="shared" si="34"/>
        <v>0.00864534312259739</v>
      </c>
      <c r="D542" s="2">
        <f t="shared" si="32"/>
        <v>0.00860818614670048</v>
      </c>
      <c r="E542" s="23">
        <v>0.02499</v>
      </c>
      <c r="F542" s="2">
        <f t="shared" si="33"/>
        <v>9.61153846153846e-5</v>
      </c>
      <c r="G542" s="23">
        <f t="shared" si="35"/>
        <v>0.00851207076208509</v>
      </c>
      <c r="J542" s="21"/>
    </row>
    <row r="543" spans="1:10">
      <c r="A543" s="26">
        <v>45150</v>
      </c>
      <c r="B543" s="27">
        <v>64838.4</v>
      </c>
      <c r="C543" s="2">
        <f t="shared" si="34"/>
        <v>-0.0142859097480773</v>
      </c>
      <c r="D543" s="2">
        <f t="shared" si="32"/>
        <v>-0.0143889357472702</v>
      </c>
      <c r="E543" s="23">
        <v>0.02492</v>
      </c>
      <c r="F543" s="2">
        <f t="shared" si="33"/>
        <v>9.58461538461539e-5</v>
      </c>
      <c r="G543" s="23">
        <f t="shared" si="35"/>
        <v>-0.0144847819011163</v>
      </c>
      <c r="J543" s="21"/>
    </row>
    <row r="544" spans="1:10">
      <c r="A544" s="26">
        <v>45119</v>
      </c>
      <c r="B544" s="27">
        <v>64274.6</v>
      </c>
      <c r="C544" s="2">
        <f t="shared" si="34"/>
        <v>-0.0086954644161485</v>
      </c>
      <c r="D544" s="2">
        <f t="shared" si="32"/>
        <v>-0.00873349056401011</v>
      </c>
      <c r="E544" s="23">
        <v>0.02495</v>
      </c>
      <c r="F544" s="2">
        <f t="shared" si="33"/>
        <v>9.59615384615385e-5</v>
      </c>
      <c r="G544" s="23">
        <f t="shared" si="35"/>
        <v>-0.00882945210247165</v>
      </c>
      <c r="J544" s="21"/>
    </row>
    <row r="545" spans="1:10">
      <c r="A545" s="26">
        <v>45089</v>
      </c>
      <c r="B545" s="27">
        <v>64368.5</v>
      </c>
      <c r="C545" s="2">
        <f t="shared" si="34"/>
        <v>0.00146091924337143</v>
      </c>
      <c r="D545" s="2">
        <f t="shared" ref="D545:D608" si="36">LN(B545/B544)</f>
        <v>0.00145985313905551</v>
      </c>
      <c r="E545" s="23">
        <v>0.02483</v>
      </c>
      <c r="F545" s="2">
        <f t="shared" si="33"/>
        <v>9.55e-5</v>
      </c>
      <c r="G545" s="23">
        <f t="shared" si="35"/>
        <v>0.00136435313905551</v>
      </c>
      <c r="J545" s="21"/>
    </row>
    <row r="546" spans="1:10">
      <c r="A546" s="26">
        <v>45058</v>
      </c>
      <c r="B546" s="27">
        <v>63992.7</v>
      </c>
      <c r="C546" s="2">
        <f t="shared" si="34"/>
        <v>-0.00583825939706538</v>
      </c>
      <c r="D546" s="2">
        <f t="shared" si="36"/>
        <v>-0.00585536865816183</v>
      </c>
      <c r="E546" s="23">
        <v>0.02493</v>
      </c>
      <c r="F546" s="2">
        <f t="shared" si="33"/>
        <v>9.58846153846154e-5</v>
      </c>
      <c r="G546" s="23">
        <f t="shared" si="35"/>
        <v>-0.00595125327354644</v>
      </c>
      <c r="J546" s="21"/>
    </row>
    <row r="547" spans="1:10">
      <c r="A547" s="26">
        <v>45028</v>
      </c>
      <c r="B547" s="27">
        <v>64650.4</v>
      </c>
      <c r="C547" s="2">
        <f t="shared" si="34"/>
        <v>0.0102777348041262</v>
      </c>
      <c r="D547" s="2">
        <f t="shared" si="36"/>
        <v>0.0102252780063155</v>
      </c>
      <c r="E547" s="23">
        <v>0.02482</v>
      </c>
      <c r="F547" s="2">
        <f t="shared" si="33"/>
        <v>9.54615384615385e-5</v>
      </c>
      <c r="G547" s="23">
        <f t="shared" si="35"/>
        <v>0.0101298164678539</v>
      </c>
      <c r="J547" s="21"/>
    </row>
    <row r="548" spans="1:10">
      <c r="A548" s="26">
        <v>44938</v>
      </c>
      <c r="B548" s="27">
        <v>64274.6</v>
      </c>
      <c r="C548" s="2">
        <f t="shared" si="34"/>
        <v>-0.00581280239565421</v>
      </c>
      <c r="D548" s="2">
        <f t="shared" si="36"/>
        <v>-0.0058297624872092</v>
      </c>
      <c r="E548" s="23">
        <v>0.02486</v>
      </c>
      <c r="F548" s="2">
        <f t="shared" si="33"/>
        <v>9.56153846153846e-5</v>
      </c>
      <c r="G548" s="23">
        <f t="shared" si="35"/>
        <v>-0.00592537787182459</v>
      </c>
    </row>
    <row r="549" spans="1:10">
      <c r="A549" s="28" t="s">
        <v>347</v>
      </c>
      <c r="B549" s="27">
        <v>63334.9</v>
      </c>
      <c r="C549" s="2">
        <f t="shared" si="34"/>
        <v>-0.0146200832054964</v>
      </c>
      <c r="D549" s="2">
        <f t="shared" si="36"/>
        <v>-0.0147280098446253</v>
      </c>
      <c r="E549" s="23">
        <v>0.02486</v>
      </c>
      <c r="F549" s="2">
        <f t="shared" si="33"/>
        <v>9.56153846153846e-5</v>
      </c>
      <c r="G549" s="23">
        <f t="shared" si="35"/>
        <v>-0.0148236252292407</v>
      </c>
    </row>
    <row r="550" spans="1:10">
      <c r="A550" s="28" t="s">
        <v>348</v>
      </c>
      <c r="B550" s="27">
        <v>64274.6</v>
      </c>
      <c r="C550" s="2">
        <f t="shared" si="34"/>
        <v>0.0148370014004916</v>
      </c>
      <c r="D550" s="2">
        <f t="shared" si="36"/>
        <v>0.0147280098446254</v>
      </c>
      <c r="E550" s="23">
        <v>0.02552</v>
      </c>
      <c r="F550" s="2">
        <f t="shared" si="33"/>
        <v>9.81538461538462e-5</v>
      </c>
      <c r="G550" s="23">
        <f t="shared" si="35"/>
        <v>0.0146298559984716</v>
      </c>
    </row>
    <row r="551" spans="1:10">
      <c r="A551" s="28" t="s">
        <v>349</v>
      </c>
      <c r="B551" s="27">
        <v>64368.5</v>
      </c>
      <c r="C551" s="2">
        <f t="shared" si="34"/>
        <v>0.00146091924337143</v>
      </c>
      <c r="D551" s="2">
        <f t="shared" si="36"/>
        <v>0.00145985313905551</v>
      </c>
      <c r="E551" s="23">
        <v>0.02582</v>
      </c>
      <c r="F551" s="2">
        <f t="shared" si="33"/>
        <v>9.93076923076923e-5</v>
      </c>
      <c r="G551" s="23">
        <f t="shared" si="35"/>
        <v>0.00136054544674782</v>
      </c>
    </row>
    <row r="552" spans="1:10">
      <c r="A552" s="28" t="s">
        <v>350</v>
      </c>
      <c r="B552" s="27">
        <v>63992.7</v>
      </c>
      <c r="C552" s="2">
        <f t="shared" si="34"/>
        <v>-0.00583825939706538</v>
      </c>
      <c r="D552" s="2">
        <f t="shared" si="36"/>
        <v>-0.00585536865816183</v>
      </c>
      <c r="E552" s="23">
        <v>0.02582</v>
      </c>
      <c r="F552" s="2">
        <f t="shared" si="33"/>
        <v>9.93076923076923e-5</v>
      </c>
      <c r="G552" s="23">
        <f t="shared" si="35"/>
        <v>-0.00595467635046952</v>
      </c>
    </row>
    <row r="553" spans="1:10">
      <c r="A553" s="28" t="s">
        <v>351</v>
      </c>
      <c r="B553" s="27">
        <v>64180.6</v>
      </c>
      <c r="C553" s="2">
        <f t="shared" si="34"/>
        <v>0.00293627241857277</v>
      </c>
      <c r="D553" s="2">
        <f t="shared" si="36"/>
        <v>0.00293196999072407</v>
      </c>
      <c r="E553" s="23">
        <v>0.02577</v>
      </c>
      <c r="F553" s="2">
        <f t="shared" si="33"/>
        <v>9.91153846153846e-5</v>
      </c>
      <c r="G553" s="23">
        <f t="shared" si="35"/>
        <v>0.00283285460610869</v>
      </c>
    </row>
    <row r="554" spans="1:10">
      <c r="A554" s="28" t="s">
        <v>352</v>
      </c>
      <c r="B554" s="27">
        <v>64556.5</v>
      </c>
      <c r="C554" s="2">
        <f t="shared" si="34"/>
        <v>0.00585691003200346</v>
      </c>
      <c r="D554" s="2">
        <f t="shared" si="36"/>
        <v>0.00583982501226588</v>
      </c>
      <c r="E554" s="23">
        <v>0.02536</v>
      </c>
      <c r="F554" s="2">
        <f t="shared" si="33"/>
        <v>9.75384615384615e-5</v>
      </c>
      <c r="G554" s="23">
        <f t="shared" si="35"/>
        <v>0.00574228655072742</v>
      </c>
    </row>
    <row r="555" spans="1:10">
      <c r="A555" s="28" t="s">
        <v>353</v>
      </c>
      <c r="B555" s="27">
        <v>65214.3</v>
      </c>
      <c r="C555" s="2">
        <f t="shared" si="34"/>
        <v>0.0101895239054162</v>
      </c>
      <c r="D555" s="2">
        <f t="shared" si="36"/>
        <v>0.0101379606806961</v>
      </c>
      <c r="E555" s="23">
        <v>0.02673</v>
      </c>
      <c r="F555" s="2">
        <f t="shared" si="33"/>
        <v>0.000102807692307692</v>
      </c>
      <c r="G555" s="23">
        <f t="shared" si="35"/>
        <v>0.0100351529883884</v>
      </c>
    </row>
    <row r="556" spans="1:10">
      <c r="A556" s="28" t="s">
        <v>354</v>
      </c>
      <c r="B556" s="27">
        <v>65308.2</v>
      </c>
      <c r="C556" s="2">
        <f t="shared" si="34"/>
        <v>0.00143986824975495</v>
      </c>
      <c r="D556" s="2">
        <f t="shared" si="36"/>
        <v>0.00143883263344813</v>
      </c>
      <c r="E556" s="23">
        <v>0.02672</v>
      </c>
      <c r="F556" s="2">
        <f t="shared" si="33"/>
        <v>0.000102769230769231</v>
      </c>
      <c r="G556" s="23">
        <f t="shared" si="35"/>
        <v>0.0013360634026789</v>
      </c>
    </row>
    <row r="557" spans="1:10">
      <c r="A557" s="28" t="s">
        <v>355</v>
      </c>
      <c r="B557" s="27">
        <v>65120.3</v>
      </c>
      <c r="C557" s="2">
        <f t="shared" si="34"/>
        <v>-0.00287712722139018</v>
      </c>
      <c r="D557" s="2">
        <f t="shared" si="36"/>
        <v>-0.00288127410790431</v>
      </c>
      <c r="E557" s="23">
        <v>0.02674</v>
      </c>
      <c r="F557" s="2">
        <f t="shared" si="33"/>
        <v>0.000102846153846154</v>
      </c>
      <c r="G557" s="23">
        <f t="shared" si="35"/>
        <v>-0.00298412026175046</v>
      </c>
    </row>
    <row r="558" spans="1:10">
      <c r="A558" s="28" t="s">
        <v>356</v>
      </c>
      <c r="B558" s="27">
        <v>65778.1</v>
      </c>
      <c r="C558" s="2">
        <f t="shared" si="34"/>
        <v>0.0101013048158562</v>
      </c>
      <c r="D558" s="2">
        <f t="shared" si="36"/>
        <v>0.0100506276211566</v>
      </c>
      <c r="E558" s="23">
        <v>0.02707</v>
      </c>
      <c r="F558" s="2">
        <f t="shared" si="33"/>
        <v>0.000104115384615385</v>
      </c>
      <c r="G558" s="23">
        <f t="shared" si="35"/>
        <v>0.00994651223654118</v>
      </c>
    </row>
    <row r="559" spans="1:10">
      <c r="A559" s="28" t="s">
        <v>357</v>
      </c>
      <c r="B559" s="27">
        <v>66060</v>
      </c>
      <c r="C559" s="2">
        <f t="shared" si="34"/>
        <v>0.00428562089814078</v>
      </c>
      <c r="D559" s="2">
        <f t="shared" si="36"/>
        <v>0.00427646377820689</v>
      </c>
      <c r="E559" s="23">
        <v>0.02727</v>
      </c>
      <c r="F559" s="2">
        <f t="shared" si="33"/>
        <v>0.000104884615384615</v>
      </c>
      <c r="G559" s="23">
        <f t="shared" si="35"/>
        <v>0.00417157916282228</v>
      </c>
    </row>
    <row r="560" spans="1:10">
      <c r="A560" s="28" t="s">
        <v>358</v>
      </c>
      <c r="B560" s="27">
        <v>66435.9</v>
      </c>
      <c r="C560" s="2">
        <f t="shared" si="34"/>
        <v>0.00569028156221608</v>
      </c>
      <c r="D560" s="2">
        <f t="shared" si="36"/>
        <v>0.00567415306495623</v>
      </c>
      <c r="E560" s="23">
        <v>0.02764</v>
      </c>
      <c r="F560" s="2">
        <f t="shared" si="33"/>
        <v>0.000106307692307692</v>
      </c>
      <c r="G560" s="23">
        <f t="shared" si="35"/>
        <v>0.00556784537264854</v>
      </c>
    </row>
    <row r="561" spans="1:10">
      <c r="A561" s="28" t="s">
        <v>359</v>
      </c>
      <c r="B561" s="27">
        <v>64744.4</v>
      </c>
      <c r="C561" s="2">
        <f t="shared" si="34"/>
        <v>-0.0254606319775903</v>
      </c>
      <c r="D561" s="2">
        <f t="shared" si="36"/>
        <v>-0.0257903626746109</v>
      </c>
      <c r="E561" s="23">
        <v>0.028</v>
      </c>
      <c r="F561" s="2">
        <f t="shared" si="33"/>
        <v>0.000107692307692308</v>
      </c>
      <c r="G561" s="23">
        <f t="shared" si="35"/>
        <v>-0.0258980549823032</v>
      </c>
      <c r="J561" s="21"/>
    </row>
    <row r="562" spans="1:10">
      <c r="A562" s="28" t="s">
        <v>360</v>
      </c>
      <c r="B562" s="27">
        <v>64556.5</v>
      </c>
      <c r="C562" s="2">
        <f t="shared" si="34"/>
        <v>-0.00290218150141173</v>
      </c>
      <c r="D562" s="2">
        <f t="shared" si="36"/>
        <v>-0.00290640099594878</v>
      </c>
      <c r="E562" s="23">
        <v>0.02806</v>
      </c>
      <c r="F562" s="2">
        <f t="shared" si="33"/>
        <v>0.000107923076923077</v>
      </c>
      <c r="G562" s="23">
        <f t="shared" si="35"/>
        <v>-0.00301432407287186</v>
      </c>
      <c r="J562" s="21"/>
    </row>
    <row r="563" spans="1:10">
      <c r="A563" s="26">
        <v>45210</v>
      </c>
      <c r="B563" s="27">
        <v>65402.2</v>
      </c>
      <c r="C563" s="2">
        <f t="shared" si="34"/>
        <v>0.0131001525795233</v>
      </c>
      <c r="D563" s="2">
        <f t="shared" si="36"/>
        <v>0.0130150876840605</v>
      </c>
      <c r="E563" s="23">
        <v>0.02828</v>
      </c>
      <c r="F563" s="2">
        <f t="shared" si="33"/>
        <v>0.000108769230769231</v>
      </c>
      <c r="G563" s="23">
        <f t="shared" si="35"/>
        <v>0.0129063184532913</v>
      </c>
      <c r="J563" s="21"/>
    </row>
    <row r="564" spans="1:10">
      <c r="A564" s="26">
        <v>45180</v>
      </c>
      <c r="B564" s="27">
        <v>66435.9</v>
      </c>
      <c r="C564" s="2">
        <f t="shared" si="34"/>
        <v>0.0158052787215109</v>
      </c>
      <c r="D564" s="2">
        <f t="shared" si="36"/>
        <v>0.0156816759864991</v>
      </c>
      <c r="E564" s="23">
        <v>0.02845</v>
      </c>
      <c r="F564" s="2">
        <f t="shared" si="33"/>
        <v>0.000109423076923077</v>
      </c>
      <c r="G564" s="23">
        <f t="shared" si="35"/>
        <v>0.0155722529095761</v>
      </c>
      <c r="J564" s="21"/>
    </row>
    <row r="565" spans="1:10">
      <c r="A565" s="26">
        <v>45149</v>
      </c>
      <c r="B565" s="27">
        <v>67093.6</v>
      </c>
      <c r="C565" s="2">
        <f t="shared" si="34"/>
        <v>0.0098997680470952</v>
      </c>
      <c r="D565" s="2">
        <f t="shared" si="36"/>
        <v>0.00985108637126586</v>
      </c>
      <c r="E565" s="23">
        <v>0.02839</v>
      </c>
      <c r="F565" s="2">
        <f t="shared" si="33"/>
        <v>0.000109192307692308</v>
      </c>
      <c r="G565" s="23">
        <f t="shared" si="35"/>
        <v>0.00974189406357355</v>
      </c>
      <c r="J565" s="21"/>
    </row>
    <row r="566" spans="1:10">
      <c r="A566" s="26">
        <v>45118</v>
      </c>
      <c r="B566" s="27">
        <v>66529.8</v>
      </c>
      <c r="C566" s="2">
        <f t="shared" si="34"/>
        <v>-0.00840318599687605</v>
      </c>
      <c r="D566" s="2">
        <f t="shared" si="36"/>
        <v>-0.00843869181222137</v>
      </c>
      <c r="E566" s="23">
        <v>0.02906</v>
      </c>
      <c r="F566" s="2">
        <f t="shared" si="33"/>
        <v>0.000111769230769231</v>
      </c>
      <c r="G566" s="23">
        <f t="shared" si="35"/>
        <v>-0.0085504610429906</v>
      </c>
      <c r="J566" s="21"/>
    </row>
    <row r="567" spans="1:10">
      <c r="A567" s="26">
        <v>45088</v>
      </c>
      <c r="B567" s="27">
        <v>66717.8</v>
      </c>
      <c r="C567" s="2">
        <f t="shared" si="34"/>
        <v>0.00282580137021305</v>
      </c>
      <c r="D567" s="2">
        <f t="shared" si="36"/>
        <v>0.00282181629910228</v>
      </c>
      <c r="E567" s="23">
        <v>0.0295</v>
      </c>
      <c r="F567" s="2">
        <f t="shared" si="33"/>
        <v>0.000113461538461538</v>
      </c>
      <c r="G567" s="23">
        <f t="shared" si="35"/>
        <v>0.00270835476064074</v>
      </c>
      <c r="J567" s="21"/>
    </row>
    <row r="568" spans="1:10">
      <c r="A568" s="26">
        <v>44996</v>
      </c>
      <c r="B568" s="27">
        <v>65778.1</v>
      </c>
      <c r="C568" s="2">
        <f t="shared" si="34"/>
        <v>-0.0140846970373723</v>
      </c>
      <c r="D568" s="2">
        <f t="shared" si="36"/>
        <v>-0.0141848277013097</v>
      </c>
      <c r="E568" s="23">
        <v>0.02991</v>
      </c>
      <c r="F568" s="2">
        <f t="shared" si="33"/>
        <v>0.000115038461538462</v>
      </c>
      <c r="G568" s="23">
        <f t="shared" si="35"/>
        <v>-0.0142998661628482</v>
      </c>
      <c r="J568" s="21"/>
    </row>
    <row r="569" spans="1:10">
      <c r="A569" s="26">
        <v>44968</v>
      </c>
      <c r="B569" s="27">
        <v>66623.8</v>
      </c>
      <c r="C569" s="2">
        <f t="shared" si="34"/>
        <v>0.0128568626944226</v>
      </c>
      <c r="D569" s="2">
        <f t="shared" si="36"/>
        <v>0.0127749148823317</v>
      </c>
      <c r="E569" s="23">
        <v>0.03015</v>
      </c>
      <c r="F569" s="2">
        <f t="shared" si="33"/>
        <v>0.000115961538461538</v>
      </c>
      <c r="G569" s="23">
        <f t="shared" si="35"/>
        <v>0.0126589533438701</v>
      </c>
    </row>
    <row r="570" spans="1:10">
      <c r="A570" s="26">
        <v>44937</v>
      </c>
      <c r="B570" s="27">
        <v>66153.9</v>
      </c>
      <c r="C570" s="2">
        <f t="shared" si="34"/>
        <v>-0.00705303510157044</v>
      </c>
      <c r="D570" s="2">
        <f t="shared" si="36"/>
        <v>-0.00707802532759463</v>
      </c>
      <c r="E570" s="23">
        <v>0.03028</v>
      </c>
      <c r="F570" s="2">
        <f t="shared" si="33"/>
        <v>0.000116461538461538</v>
      </c>
      <c r="G570" s="23">
        <f t="shared" si="35"/>
        <v>-0.00719448686605617</v>
      </c>
    </row>
    <row r="571" spans="1:10">
      <c r="A571" s="28" t="s">
        <v>361</v>
      </c>
      <c r="B571" s="27">
        <v>63898.7</v>
      </c>
      <c r="C571" s="2">
        <f t="shared" si="34"/>
        <v>-0.0340902048102984</v>
      </c>
      <c r="D571" s="2">
        <f t="shared" si="36"/>
        <v>-0.0346848288505824</v>
      </c>
      <c r="E571" s="23">
        <v>0.03067</v>
      </c>
      <c r="F571" s="2">
        <f t="shared" si="33"/>
        <v>0.000117961538461538</v>
      </c>
      <c r="G571" s="23">
        <f t="shared" si="35"/>
        <v>-0.0348027903890439</v>
      </c>
    </row>
    <row r="572" spans="1:10">
      <c r="A572" s="28" t="s">
        <v>362</v>
      </c>
      <c r="B572" s="27">
        <v>63522.8</v>
      </c>
      <c r="C572" s="2">
        <f t="shared" si="34"/>
        <v>-0.00588274878831642</v>
      </c>
      <c r="D572" s="2">
        <f t="shared" si="36"/>
        <v>-0.00590012031669827</v>
      </c>
      <c r="E572" s="23">
        <v>0.03067</v>
      </c>
      <c r="F572" s="2">
        <f t="shared" si="33"/>
        <v>0.000117961538461538</v>
      </c>
      <c r="G572" s="23">
        <f t="shared" si="35"/>
        <v>-0.00601808185515981</v>
      </c>
    </row>
    <row r="573" spans="1:10">
      <c r="A573" s="28" t="s">
        <v>363</v>
      </c>
      <c r="B573" s="27">
        <v>63898.7</v>
      </c>
      <c r="C573" s="2">
        <f t="shared" si="34"/>
        <v>0.00591756030905429</v>
      </c>
      <c r="D573" s="2">
        <f t="shared" si="36"/>
        <v>0.00590012031669821</v>
      </c>
      <c r="E573" s="23">
        <v>0.03082</v>
      </c>
      <c r="F573" s="2">
        <f t="shared" si="33"/>
        <v>0.000118538461538462</v>
      </c>
      <c r="G573" s="23">
        <f t="shared" si="35"/>
        <v>0.00578158185515974</v>
      </c>
    </row>
    <row r="574" spans="1:10">
      <c r="A574" s="28" t="s">
        <v>364</v>
      </c>
      <c r="B574" s="27">
        <v>62959</v>
      </c>
      <c r="C574" s="2">
        <f t="shared" si="34"/>
        <v>-0.0147060894822586</v>
      </c>
      <c r="D574" s="2">
        <f t="shared" si="36"/>
        <v>-0.0148152960059625</v>
      </c>
      <c r="E574" s="23">
        <v>0.03105</v>
      </c>
      <c r="F574" s="2">
        <f t="shared" si="33"/>
        <v>0.000119423076923077</v>
      </c>
      <c r="G574" s="23">
        <f t="shared" si="35"/>
        <v>-0.0149347190828856</v>
      </c>
    </row>
    <row r="575" spans="1:10">
      <c r="A575" s="28" t="s">
        <v>365</v>
      </c>
      <c r="B575" s="27">
        <v>64838.4</v>
      </c>
      <c r="C575" s="2">
        <f t="shared" si="34"/>
        <v>0.0298511729855938</v>
      </c>
      <c r="D575" s="2">
        <f t="shared" si="36"/>
        <v>0.0294142995545378</v>
      </c>
      <c r="E575" s="23">
        <v>0.03117</v>
      </c>
      <c r="F575" s="2">
        <f t="shared" si="33"/>
        <v>0.000119884615384615</v>
      </c>
      <c r="G575" s="23">
        <f t="shared" si="35"/>
        <v>0.0292944149391532</v>
      </c>
    </row>
    <row r="576" spans="1:10">
      <c r="A576" s="28" t="s">
        <v>366</v>
      </c>
      <c r="B576" s="27">
        <v>66060</v>
      </c>
      <c r="C576" s="2">
        <f t="shared" si="34"/>
        <v>0.0188406870002961</v>
      </c>
      <c r="D576" s="2">
        <f t="shared" si="36"/>
        <v>0.0186653995254771</v>
      </c>
      <c r="E576" s="23">
        <v>0.03218</v>
      </c>
      <c r="F576" s="2">
        <f t="shared" si="33"/>
        <v>0.000123769230769231</v>
      </c>
      <c r="G576" s="23">
        <f t="shared" si="35"/>
        <v>0.0185416302947079</v>
      </c>
    </row>
    <row r="577" spans="1:10">
      <c r="A577" s="28" t="s">
        <v>367</v>
      </c>
      <c r="B577" s="27">
        <v>65966</v>
      </c>
      <c r="C577" s="2">
        <f t="shared" si="34"/>
        <v>-0.00142294883439298</v>
      </c>
      <c r="D577" s="2">
        <f t="shared" si="36"/>
        <v>-0.00142396218749945</v>
      </c>
      <c r="E577" s="23">
        <v>0.03247</v>
      </c>
      <c r="F577" s="2">
        <f t="shared" si="33"/>
        <v>0.000124884615384615</v>
      </c>
      <c r="G577" s="23">
        <f t="shared" si="35"/>
        <v>-0.00154884680288407</v>
      </c>
    </row>
    <row r="578" spans="1:10">
      <c r="A578" s="28" t="s">
        <v>368</v>
      </c>
      <c r="B578" s="27">
        <v>67939.4</v>
      </c>
      <c r="C578" s="2">
        <f t="shared" si="34"/>
        <v>0.0299154109692871</v>
      </c>
      <c r="D578" s="2">
        <f t="shared" si="36"/>
        <v>0.0294766735965428</v>
      </c>
      <c r="E578" s="23">
        <v>0.03253</v>
      </c>
      <c r="F578" s="2">
        <f t="shared" si="33"/>
        <v>0.000125115384615385</v>
      </c>
      <c r="G578" s="23">
        <f t="shared" si="35"/>
        <v>0.0293515582119275</v>
      </c>
    </row>
    <row r="579" spans="1:10">
      <c r="A579" s="28" t="s">
        <v>369</v>
      </c>
      <c r="B579" s="27">
        <v>67093.6</v>
      </c>
      <c r="C579" s="2">
        <f t="shared" si="34"/>
        <v>-0.012449329843949</v>
      </c>
      <c r="D579" s="2">
        <f t="shared" si="36"/>
        <v>-0.0125274719728213</v>
      </c>
      <c r="E579" s="23">
        <v>0.03188</v>
      </c>
      <c r="F579" s="2">
        <f t="shared" ref="F579:F642" si="37">E579/260</f>
        <v>0.000122615384615385</v>
      </c>
      <c r="G579" s="23">
        <f t="shared" si="35"/>
        <v>-0.0126500873574367</v>
      </c>
    </row>
    <row r="580" spans="1:10">
      <c r="A580" s="28" t="s">
        <v>370</v>
      </c>
      <c r="B580" s="27">
        <v>69442.9</v>
      </c>
      <c r="C580" s="2">
        <f t="shared" ref="C580:C643" si="38">(B580-B579)/B579</f>
        <v>0.0350152622604837</v>
      </c>
      <c r="D580" s="2">
        <f t="shared" si="36"/>
        <v>0.034416172754004</v>
      </c>
      <c r="E580" s="23">
        <v>0.03058</v>
      </c>
      <c r="F580" s="2">
        <f t="shared" si="37"/>
        <v>0.000117615384615385</v>
      </c>
      <c r="G580" s="23">
        <f t="shared" ref="G580:G643" si="39">D580-F580</f>
        <v>0.0342985573693887</v>
      </c>
    </row>
    <row r="581" spans="1:10">
      <c r="A581" s="28" t="s">
        <v>371</v>
      </c>
      <c r="B581" s="27">
        <v>70288.6</v>
      </c>
      <c r="C581" s="2">
        <f t="shared" si="38"/>
        <v>0.012178350846523</v>
      </c>
      <c r="D581" s="2">
        <f t="shared" si="36"/>
        <v>0.0121047913518825</v>
      </c>
      <c r="E581" s="23">
        <v>0.03046</v>
      </c>
      <c r="F581" s="2">
        <f t="shared" si="37"/>
        <v>0.000117153846153846</v>
      </c>
      <c r="G581" s="23">
        <f t="shared" si="39"/>
        <v>0.0119876375057287</v>
      </c>
    </row>
    <row r="582" spans="1:10">
      <c r="A582" s="28" t="s">
        <v>372</v>
      </c>
      <c r="B582" s="27">
        <v>70664.4</v>
      </c>
      <c r="C582" s="2">
        <f t="shared" si="38"/>
        <v>0.00534652845553885</v>
      </c>
      <c r="D582" s="2">
        <f t="shared" si="36"/>
        <v>0.00533228651302361</v>
      </c>
      <c r="E582" s="23">
        <v>0.03034</v>
      </c>
      <c r="F582" s="2">
        <f t="shared" si="37"/>
        <v>0.000116692307692308</v>
      </c>
      <c r="G582" s="23">
        <f t="shared" si="39"/>
        <v>0.0052155942053313</v>
      </c>
    </row>
    <row r="583" spans="1:10">
      <c r="A583" s="28" t="s">
        <v>373</v>
      </c>
      <c r="B583" s="27">
        <v>71228.3</v>
      </c>
      <c r="C583" s="2">
        <f t="shared" si="38"/>
        <v>0.00797997294252847</v>
      </c>
      <c r="D583" s="2">
        <f t="shared" si="36"/>
        <v>0.00794830133923238</v>
      </c>
      <c r="E583" s="23">
        <v>0.03027</v>
      </c>
      <c r="F583" s="2">
        <f t="shared" si="37"/>
        <v>0.000116423076923077</v>
      </c>
      <c r="G583" s="23">
        <f t="shared" si="39"/>
        <v>0.0078318782623093</v>
      </c>
      <c r="J583" s="21"/>
    </row>
    <row r="584" spans="1:10">
      <c r="A584" s="26">
        <v>45270</v>
      </c>
      <c r="B584" s="27">
        <v>70946.4</v>
      </c>
      <c r="C584" s="2">
        <f t="shared" si="38"/>
        <v>-0.00395769658969832</v>
      </c>
      <c r="D584" s="2">
        <f t="shared" si="36"/>
        <v>-0.00396554899598833</v>
      </c>
      <c r="E584" s="23">
        <v>0.02995</v>
      </c>
      <c r="F584" s="2">
        <f t="shared" si="37"/>
        <v>0.000115192307692308</v>
      </c>
      <c r="G584" s="23">
        <f t="shared" si="39"/>
        <v>-0.00408074130368064</v>
      </c>
      <c r="J584" s="21"/>
    </row>
    <row r="585" spans="1:10">
      <c r="A585" s="26">
        <v>45240</v>
      </c>
      <c r="B585" s="27">
        <v>69912.7</v>
      </c>
      <c r="C585" s="2">
        <f t="shared" si="38"/>
        <v>-0.0145701543700596</v>
      </c>
      <c r="D585" s="2">
        <f t="shared" si="36"/>
        <v>-0.0146773414986496</v>
      </c>
      <c r="E585" s="23">
        <v>0.03023</v>
      </c>
      <c r="F585" s="2">
        <f t="shared" si="37"/>
        <v>0.000116269230769231</v>
      </c>
      <c r="G585" s="23">
        <f t="shared" si="39"/>
        <v>-0.0147936107294188</v>
      </c>
      <c r="J585" s="21"/>
    </row>
    <row r="586" spans="1:10">
      <c r="A586" s="26">
        <v>45209</v>
      </c>
      <c r="B586" s="27">
        <v>69912.7</v>
      </c>
      <c r="C586" s="2">
        <f t="shared" si="38"/>
        <v>0</v>
      </c>
      <c r="D586" s="2">
        <f t="shared" si="36"/>
        <v>0</v>
      </c>
      <c r="E586" s="23">
        <v>0.03033</v>
      </c>
      <c r="F586" s="2">
        <f t="shared" si="37"/>
        <v>0.000116653846153846</v>
      </c>
      <c r="G586" s="23">
        <f t="shared" si="39"/>
        <v>-0.000116653846153846</v>
      </c>
      <c r="J586" s="21"/>
    </row>
    <row r="587" spans="1:10">
      <c r="A587" s="26">
        <v>45179</v>
      </c>
      <c r="B587" s="27">
        <v>69254.9</v>
      </c>
      <c r="C587" s="2">
        <f t="shared" si="38"/>
        <v>-0.0094088770709757</v>
      </c>
      <c r="D587" s="2">
        <f t="shared" si="36"/>
        <v>-0.00945342017541647</v>
      </c>
      <c r="E587" s="23">
        <v>0.03041</v>
      </c>
      <c r="F587" s="2">
        <f t="shared" si="37"/>
        <v>0.000116961538461538</v>
      </c>
      <c r="G587" s="23">
        <f t="shared" si="39"/>
        <v>-0.00957038171387801</v>
      </c>
      <c r="J587" s="21"/>
    </row>
    <row r="588" spans="1:10">
      <c r="A588" s="26">
        <v>45087</v>
      </c>
      <c r="B588" s="27">
        <v>69724.8</v>
      </c>
      <c r="C588" s="2">
        <f t="shared" si="38"/>
        <v>0.00678507946730136</v>
      </c>
      <c r="D588" s="2">
        <f t="shared" si="36"/>
        <v>0.00676216441086822</v>
      </c>
      <c r="E588" s="23">
        <v>0.03036</v>
      </c>
      <c r="F588" s="2">
        <f t="shared" si="37"/>
        <v>0.000116769230769231</v>
      </c>
      <c r="G588" s="23">
        <f t="shared" si="39"/>
        <v>0.00664539518009899</v>
      </c>
      <c r="J588" s="21"/>
    </row>
    <row r="589" spans="1:10">
      <c r="A589" s="26">
        <v>45056</v>
      </c>
      <c r="B589" s="27">
        <v>68315.2</v>
      </c>
      <c r="C589" s="2">
        <f t="shared" si="38"/>
        <v>-0.0202166230666851</v>
      </c>
      <c r="D589" s="2">
        <f t="shared" si="36"/>
        <v>-0.0204237756969302</v>
      </c>
      <c r="E589" s="23">
        <v>0.03049</v>
      </c>
      <c r="F589" s="2">
        <f t="shared" si="37"/>
        <v>0.000117269230769231</v>
      </c>
      <c r="G589" s="23">
        <f t="shared" si="39"/>
        <v>-0.0205410449276994</v>
      </c>
      <c r="J589" s="21"/>
    </row>
    <row r="590" spans="1:10">
      <c r="A590" s="26">
        <v>45026</v>
      </c>
      <c r="B590" s="27">
        <v>69912.7</v>
      </c>
      <c r="C590" s="2">
        <f t="shared" si="38"/>
        <v>0.023384254163056</v>
      </c>
      <c r="D590" s="2">
        <f t="shared" si="36"/>
        <v>0.0231150314614785</v>
      </c>
      <c r="E590" s="23">
        <v>0.03028</v>
      </c>
      <c r="F590" s="2">
        <f t="shared" si="37"/>
        <v>0.000116461538461538</v>
      </c>
      <c r="G590" s="23">
        <f t="shared" si="39"/>
        <v>0.022998569923017</v>
      </c>
      <c r="J590" s="21"/>
    </row>
    <row r="591" spans="1:10">
      <c r="A591" s="26">
        <v>44995</v>
      </c>
      <c r="B591" s="27">
        <v>69536.8</v>
      </c>
      <c r="C591" s="2">
        <f t="shared" si="38"/>
        <v>-0.005376705519884</v>
      </c>
      <c r="D591" s="2">
        <f t="shared" si="36"/>
        <v>-0.00539121202250151</v>
      </c>
      <c r="E591" s="23">
        <v>0.02966</v>
      </c>
      <c r="F591" s="2">
        <f t="shared" si="37"/>
        <v>0.000114076923076923</v>
      </c>
      <c r="G591" s="23">
        <f t="shared" si="39"/>
        <v>-0.00550528894557843</v>
      </c>
    </row>
    <row r="592" spans="1:10">
      <c r="A592" s="26">
        <v>44967</v>
      </c>
      <c r="B592" s="27">
        <v>71040.3</v>
      </c>
      <c r="C592" s="2">
        <f t="shared" si="38"/>
        <v>0.0216216449419588</v>
      </c>
      <c r="D592" s="2">
        <f t="shared" si="36"/>
        <v>0.0213912128081024</v>
      </c>
      <c r="E592" s="23">
        <v>0.02858</v>
      </c>
      <c r="F592" s="2">
        <f t="shared" si="37"/>
        <v>0.000109923076923077</v>
      </c>
      <c r="G592" s="23">
        <f t="shared" si="39"/>
        <v>0.0212812897311793</v>
      </c>
    </row>
    <row r="593" spans="1:10">
      <c r="A593" s="28" t="s">
        <v>374</v>
      </c>
      <c r="B593" s="27">
        <v>69724.8</v>
      </c>
      <c r="C593" s="2">
        <f t="shared" si="38"/>
        <v>-0.018517658286916</v>
      </c>
      <c r="D593" s="2">
        <f t="shared" si="36"/>
        <v>-0.0186912565501492</v>
      </c>
      <c r="E593" s="23">
        <v>0.02838</v>
      </c>
      <c r="F593" s="2">
        <f t="shared" si="37"/>
        <v>0.000109153846153846</v>
      </c>
      <c r="G593" s="23">
        <f t="shared" si="39"/>
        <v>-0.018800410396303</v>
      </c>
    </row>
    <row r="594" spans="1:10">
      <c r="A594" s="28" t="s">
        <v>375</v>
      </c>
      <c r="B594" s="27">
        <v>70288.6</v>
      </c>
      <c r="C594" s="2">
        <f t="shared" si="38"/>
        <v>0.00808607554270508</v>
      </c>
      <c r="D594" s="2">
        <f t="shared" si="36"/>
        <v>0.00805355840693033</v>
      </c>
      <c r="E594" s="23">
        <v>0.02798</v>
      </c>
      <c r="F594" s="2">
        <f t="shared" si="37"/>
        <v>0.000107615384615385</v>
      </c>
      <c r="G594" s="23">
        <f t="shared" si="39"/>
        <v>0.00794594302231495</v>
      </c>
    </row>
    <row r="595" spans="1:10">
      <c r="A595" s="28" t="s">
        <v>376</v>
      </c>
      <c r="B595" s="27">
        <v>71980</v>
      </c>
      <c r="C595" s="2">
        <f t="shared" si="38"/>
        <v>0.0240636461673727</v>
      </c>
      <c r="D595" s="2">
        <f t="shared" si="36"/>
        <v>0.0237786791461325</v>
      </c>
      <c r="E595" s="23">
        <v>0.0275</v>
      </c>
      <c r="F595" s="2">
        <f t="shared" si="37"/>
        <v>0.000105769230769231</v>
      </c>
      <c r="G595" s="23">
        <f t="shared" si="39"/>
        <v>0.0236729099153632</v>
      </c>
    </row>
    <row r="596" spans="1:10">
      <c r="A596" s="28" t="s">
        <v>377</v>
      </c>
      <c r="B596" s="27">
        <v>71510.2</v>
      </c>
      <c r="C596" s="2">
        <f t="shared" si="38"/>
        <v>-0.00652681300361216</v>
      </c>
      <c r="D596" s="2">
        <f t="shared" si="36"/>
        <v>-0.00654820578285641</v>
      </c>
      <c r="E596" s="23">
        <v>0.02791</v>
      </c>
      <c r="F596" s="2">
        <f t="shared" si="37"/>
        <v>0.000107346153846154</v>
      </c>
      <c r="G596" s="23">
        <f t="shared" si="39"/>
        <v>-0.00665555193670256</v>
      </c>
    </row>
    <row r="597" spans="1:10">
      <c r="A597" s="28" t="s">
        <v>378</v>
      </c>
      <c r="B597" s="27">
        <v>72919.7</v>
      </c>
      <c r="C597" s="2">
        <f t="shared" si="38"/>
        <v>0.0197104748693193</v>
      </c>
      <c r="D597" s="2">
        <f t="shared" si="36"/>
        <v>0.0195187388363298</v>
      </c>
      <c r="E597" s="23">
        <v>0.02772</v>
      </c>
      <c r="F597" s="2">
        <f t="shared" si="37"/>
        <v>0.000106615384615385</v>
      </c>
      <c r="G597" s="23">
        <f t="shared" si="39"/>
        <v>0.0194121234517145</v>
      </c>
    </row>
    <row r="598" spans="1:10">
      <c r="A598" s="28" t="s">
        <v>379</v>
      </c>
      <c r="B598" s="27">
        <v>72825.7</v>
      </c>
      <c r="C598" s="2">
        <f t="shared" si="38"/>
        <v>-0.00128908923103085</v>
      </c>
      <c r="D598" s="2">
        <f t="shared" si="36"/>
        <v>-0.00128992082129319</v>
      </c>
      <c r="E598" s="23">
        <v>0.0274</v>
      </c>
      <c r="F598" s="2">
        <f t="shared" si="37"/>
        <v>0.000105384615384615</v>
      </c>
      <c r="G598" s="23">
        <f t="shared" si="39"/>
        <v>-0.0013953054366778</v>
      </c>
    </row>
    <row r="599" spans="1:10">
      <c r="A599" s="28" t="s">
        <v>380</v>
      </c>
      <c r="B599" s="27">
        <v>73295.6</v>
      </c>
      <c r="C599" s="2">
        <f t="shared" si="38"/>
        <v>0.00645239249330949</v>
      </c>
      <c r="D599" s="2">
        <f t="shared" si="36"/>
        <v>0.00643166492270182</v>
      </c>
      <c r="E599" s="23">
        <v>0.02711</v>
      </c>
      <c r="F599" s="2">
        <f t="shared" si="37"/>
        <v>0.000104269230769231</v>
      </c>
      <c r="G599" s="23">
        <f t="shared" si="39"/>
        <v>0.00632739569193259</v>
      </c>
    </row>
    <row r="600" spans="1:10">
      <c r="A600" s="28" t="s">
        <v>381</v>
      </c>
      <c r="B600" s="27">
        <v>73577.5</v>
      </c>
      <c r="C600" s="2">
        <f t="shared" si="38"/>
        <v>0.00384606988686898</v>
      </c>
      <c r="D600" s="2">
        <f t="shared" si="36"/>
        <v>0.0038386926695604</v>
      </c>
      <c r="E600" s="23">
        <v>0.02694</v>
      </c>
      <c r="F600" s="2">
        <f t="shared" si="37"/>
        <v>0.000103615384615385</v>
      </c>
      <c r="G600" s="23">
        <f t="shared" si="39"/>
        <v>0.00373507728494501</v>
      </c>
    </row>
    <row r="601" spans="1:10">
      <c r="A601" s="28" t="s">
        <v>382</v>
      </c>
      <c r="B601" s="27">
        <v>74141.3</v>
      </c>
      <c r="C601" s="2">
        <f t="shared" si="38"/>
        <v>0.00766266861472601</v>
      </c>
      <c r="D601" s="2">
        <f t="shared" si="36"/>
        <v>0.00763345948792252</v>
      </c>
      <c r="E601" s="23">
        <v>0.02715</v>
      </c>
      <c r="F601" s="2">
        <f t="shared" si="37"/>
        <v>0.000104423076923077</v>
      </c>
      <c r="G601" s="23">
        <f t="shared" si="39"/>
        <v>0.00752903641099944</v>
      </c>
    </row>
    <row r="602" spans="1:10">
      <c r="A602" s="28" t="s">
        <v>383</v>
      </c>
      <c r="B602" s="27">
        <v>74141.3</v>
      </c>
      <c r="C602" s="2">
        <f t="shared" si="38"/>
        <v>0</v>
      </c>
      <c r="D602" s="2">
        <f t="shared" si="36"/>
        <v>0</v>
      </c>
      <c r="E602" s="23">
        <v>0.02695</v>
      </c>
      <c r="F602" s="2">
        <f t="shared" si="37"/>
        <v>0.000103653846153846</v>
      </c>
      <c r="G602" s="23">
        <f t="shared" si="39"/>
        <v>-0.000103653846153846</v>
      </c>
    </row>
    <row r="603" spans="1:10">
      <c r="A603" s="28" t="s">
        <v>384</v>
      </c>
      <c r="B603" s="27">
        <v>74705.1</v>
      </c>
      <c r="C603" s="2">
        <f t="shared" si="38"/>
        <v>0.00760439862802517</v>
      </c>
      <c r="D603" s="2">
        <f t="shared" si="36"/>
        <v>0.00757563093739016</v>
      </c>
      <c r="E603" s="23">
        <v>0.02735</v>
      </c>
      <c r="F603" s="2">
        <f t="shared" si="37"/>
        <v>0.000105192307692308</v>
      </c>
      <c r="G603" s="23">
        <f t="shared" si="39"/>
        <v>0.00747043862969785</v>
      </c>
    </row>
    <row r="604" spans="1:10">
      <c r="A604" s="28" t="s">
        <v>385</v>
      </c>
      <c r="B604" s="27">
        <v>74611.1</v>
      </c>
      <c r="C604" s="2">
        <f t="shared" si="38"/>
        <v>-0.00125828089380779</v>
      </c>
      <c r="D604" s="2">
        <f t="shared" si="36"/>
        <v>-0.0012590731939054</v>
      </c>
      <c r="E604" s="23">
        <v>0.02719</v>
      </c>
      <c r="F604" s="2">
        <f t="shared" si="37"/>
        <v>0.000104576923076923</v>
      </c>
      <c r="G604" s="23">
        <f t="shared" si="39"/>
        <v>-0.00136365011698232</v>
      </c>
      <c r="J604" s="21"/>
    </row>
    <row r="605" spans="1:10">
      <c r="A605" s="28" t="s">
        <v>386</v>
      </c>
      <c r="B605" s="27">
        <v>74329.2</v>
      </c>
      <c r="C605" s="2">
        <f t="shared" si="38"/>
        <v>-0.00377825819482636</v>
      </c>
      <c r="D605" s="2">
        <f t="shared" si="36"/>
        <v>-0.00378541384192766</v>
      </c>
      <c r="E605" s="23">
        <v>0.02719</v>
      </c>
      <c r="F605" s="2">
        <f t="shared" si="37"/>
        <v>0.000104576923076923</v>
      </c>
      <c r="G605" s="23">
        <f t="shared" si="39"/>
        <v>-0.00388999076500458</v>
      </c>
      <c r="J605" s="21"/>
    </row>
    <row r="606" spans="1:10">
      <c r="A606" s="26">
        <v>45269</v>
      </c>
      <c r="B606" s="27">
        <v>75456.8</v>
      </c>
      <c r="C606" s="2">
        <f t="shared" si="38"/>
        <v>0.0151703502795672</v>
      </c>
      <c r="D606" s="2">
        <f t="shared" si="36"/>
        <v>0.015056431199155</v>
      </c>
      <c r="E606" s="23">
        <v>0.02728</v>
      </c>
      <c r="F606" s="2">
        <f t="shared" si="37"/>
        <v>0.000104923076923077</v>
      </c>
      <c r="G606" s="23">
        <f t="shared" si="39"/>
        <v>0.0149515081222319</v>
      </c>
      <c r="J606" s="21"/>
    </row>
    <row r="607" spans="1:10">
      <c r="A607" s="26">
        <v>45239</v>
      </c>
      <c r="B607" s="27">
        <v>74705.1</v>
      </c>
      <c r="C607" s="2">
        <f t="shared" si="38"/>
        <v>-0.00996199149712149</v>
      </c>
      <c r="D607" s="2">
        <f t="shared" si="36"/>
        <v>-0.0100119441633218</v>
      </c>
      <c r="E607" s="23">
        <v>0.02758</v>
      </c>
      <c r="F607" s="2">
        <f t="shared" si="37"/>
        <v>0.000106076923076923</v>
      </c>
      <c r="G607" s="23">
        <f t="shared" si="39"/>
        <v>-0.0101180210863987</v>
      </c>
      <c r="J607" s="21"/>
    </row>
    <row r="608" spans="1:10">
      <c r="A608" s="26">
        <v>45147</v>
      </c>
      <c r="B608" s="27">
        <v>75174.9</v>
      </c>
      <c r="C608" s="2">
        <f t="shared" si="38"/>
        <v>0.00628872727564769</v>
      </c>
      <c r="D608" s="2">
        <f t="shared" si="36"/>
        <v>0.00626903574360375</v>
      </c>
      <c r="E608" s="23">
        <v>0.02753</v>
      </c>
      <c r="F608" s="2">
        <f t="shared" si="37"/>
        <v>0.000105884615384615</v>
      </c>
      <c r="G608" s="23">
        <f t="shared" si="39"/>
        <v>0.00616315112821914</v>
      </c>
      <c r="J608" s="21"/>
    </row>
    <row r="609" spans="1:10">
      <c r="A609" s="26">
        <v>45116</v>
      </c>
      <c r="B609" s="27">
        <v>74705.1</v>
      </c>
      <c r="C609" s="2">
        <f t="shared" si="38"/>
        <v>-0.00624942633778014</v>
      </c>
      <c r="D609" s="2">
        <f t="shared" ref="D609:D672" si="40">LN(B609/B608)</f>
        <v>-0.00626903574360367</v>
      </c>
      <c r="E609" s="23">
        <v>0.02758</v>
      </c>
      <c r="F609" s="2">
        <f t="shared" si="37"/>
        <v>0.000106076923076923</v>
      </c>
      <c r="G609" s="23">
        <f t="shared" si="39"/>
        <v>-0.00637511266668059</v>
      </c>
      <c r="J609" s="21"/>
    </row>
    <row r="610" spans="1:10">
      <c r="A610" s="26">
        <v>45086</v>
      </c>
      <c r="B610" s="27">
        <v>75174.9</v>
      </c>
      <c r="C610" s="2">
        <f t="shared" si="38"/>
        <v>0.00628872727564769</v>
      </c>
      <c r="D610" s="2">
        <f t="shared" si="40"/>
        <v>0.00626903574360375</v>
      </c>
      <c r="E610" s="23">
        <v>0.02752</v>
      </c>
      <c r="F610" s="2">
        <f t="shared" si="37"/>
        <v>0.000105846153846154</v>
      </c>
      <c r="G610" s="23">
        <f t="shared" si="39"/>
        <v>0.0061631895897576</v>
      </c>
      <c r="J610" s="21"/>
    </row>
    <row r="611" spans="1:10">
      <c r="A611" s="26">
        <v>45055</v>
      </c>
      <c r="B611" s="27">
        <v>75268.9</v>
      </c>
      <c r="C611" s="2">
        <f t="shared" si="38"/>
        <v>0.0012504173600497</v>
      </c>
      <c r="D611" s="2">
        <f t="shared" si="40"/>
        <v>0.0012496362393459</v>
      </c>
      <c r="E611" s="23">
        <v>0.02743</v>
      </c>
      <c r="F611" s="2">
        <f t="shared" si="37"/>
        <v>0.0001055</v>
      </c>
      <c r="G611" s="23">
        <f t="shared" si="39"/>
        <v>0.0011441362393459</v>
      </c>
      <c r="J611" s="21"/>
    </row>
    <row r="612" spans="1:10">
      <c r="A612" s="28" t="s">
        <v>387</v>
      </c>
      <c r="B612" s="27">
        <v>73107.6</v>
      </c>
      <c r="C612" s="2">
        <f t="shared" si="38"/>
        <v>-0.0287143826998932</v>
      </c>
      <c r="D612" s="2">
        <f t="shared" si="40"/>
        <v>-0.0291347063638052</v>
      </c>
      <c r="E612" s="23">
        <v>0.02717</v>
      </c>
      <c r="F612" s="2">
        <f t="shared" si="37"/>
        <v>0.0001045</v>
      </c>
      <c r="G612" s="23">
        <f t="shared" si="39"/>
        <v>-0.0292392063638052</v>
      </c>
      <c r="J612" s="21"/>
    </row>
    <row r="613" spans="1:10">
      <c r="A613" s="28" t="s">
        <v>388</v>
      </c>
      <c r="B613" s="27">
        <v>73107.6</v>
      </c>
      <c r="C613" s="2">
        <f t="shared" si="38"/>
        <v>0</v>
      </c>
      <c r="D613" s="2">
        <f t="shared" si="40"/>
        <v>0</v>
      </c>
      <c r="E613" s="23">
        <v>0.02751</v>
      </c>
      <c r="F613" s="2">
        <f t="shared" si="37"/>
        <v>0.000105807692307692</v>
      </c>
      <c r="G613" s="23">
        <f t="shared" si="39"/>
        <v>-0.000105807692307692</v>
      </c>
    </row>
    <row r="614" spans="1:10">
      <c r="A614" s="28" t="s">
        <v>389</v>
      </c>
      <c r="B614" s="27">
        <v>72731.8</v>
      </c>
      <c r="C614" s="2">
        <f t="shared" si="38"/>
        <v>-0.00514036844322619</v>
      </c>
      <c r="D614" s="2">
        <f t="shared" si="40"/>
        <v>-0.00515362558767814</v>
      </c>
      <c r="E614" s="23">
        <v>0.02735</v>
      </c>
      <c r="F614" s="2">
        <f t="shared" si="37"/>
        <v>0.000105192307692308</v>
      </c>
      <c r="G614" s="23">
        <f t="shared" si="39"/>
        <v>-0.00525881789537044</v>
      </c>
    </row>
    <row r="615" spans="1:10">
      <c r="A615" s="28" t="s">
        <v>390</v>
      </c>
      <c r="B615" s="27">
        <v>73201.6</v>
      </c>
      <c r="C615" s="2">
        <f t="shared" si="38"/>
        <v>0.00645934790559292</v>
      </c>
      <c r="D615" s="2">
        <f t="shared" si="40"/>
        <v>0.00643857571977642</v>
      </c>
      <c r="E615" s="23">
        <v>0.02708</v>
      </c>
      <c r="F615" s="2">
        <f t="shared" si="37"/>
        <v>0.000104153846153846</v>
      </c>
      <c r="G615" s="23">
        <f t="shared" si="39"/>
        <v>0.00633442187362258</v>
      </c>
    </row>
    <row r="616" spans="1:10">
      <c r="A616" s="28" t="s">
        <v>391</v>
      </c>
      <c r="B616" s="27">
        <v>70382.5</v>
      </c>
      <c r="C616" s="2">
        <f t="shared" si="38"/>
        <v>-0.0385114533015673</v>
      </c>
      <c r="D616" s="2">
        <f t="shared" si="40"/>
        <v>-0.0392726259343563</v>
      </c>
      <c r="E616" s="23">
        <v>0.02662</v>
      </c>
      <c r="F616" s="2">
        <f t="shared" si="37"/>
        <v>0.000102384615384615</v>
      </c>
      <c r="G616" s="23">
        <f t="shared" si="39"/>
        <v>-0.0393750105497409</v>
      </c>
    </row>
    <row r="617" spans="1:10">
      <c r="A617" s="28" t="s">
        <v>392</v>
      </c>
      <c r="B617" s="27">
        <v>70194.6</v>
      </c>
      <c r="C617" s="2">
        <f t="shared" si="38"/>
        <v>-0.00266969772315553</v>
      </c>
      <c r="D617" s="2">
        <f t="shared" si="40"/>
        <v>-0.00267326772141509</v>
      </c>
      <c r="E617" s="23">
        <v>0.02685</v>
      </c>
      <c r="F617" s="2">
        <f t="shared" si="37"/>
        <v>0.000103269230769231</v>
      </c>
      <c r="G617" s="23">
        <f t="shared" si="39"/>
        <v>-0.00277653695218433</v>
      </c>
    </row>
    <row r="618" spans="1:10">
      <c r="A618" s="28" t="s">
        <v>393</v>
      </c>
      <c r="B618" s="27">
        <v>69067</v>
      </c>
      <c r="C618" s="2">
        <f t="shared" si="38"/>
        <v>-0.0160639137483511</v>
      </c>
      <c r="D618" s="2">
        <f t="shared" si="40"/>
        <v>-0.0161943370357127</v>
      </c>
      <c r="E618" s="23">
        <v>0.02694</v>
      </c>
      <c r="F618" s="2">
        <f t="shared" si="37"/>
        <v>0.000103615384615385</v>
      </c>
      <c r="G618" s="23">
        <f t="shared" si="39"/>
        <v>-0.016297952420328</v>
      </c>
    </row>
    <row r="619" spans="1:10">
      <c r="A619" s="28" t="s">
        <v>394</v>
      </c>
      <c r="B619" s="27">
        <v>68315.2</v>
      </c>
      <c r="C619" s="2">
        <f t="shared" si="38"/>
        <v>-0.0108850826009527</v>
      </c>
      <c r="D619" s="2">
        <f t="shared" si="40"/>
        <v>-0.0109447585595067</v>
      </c>
      <c r="E619" s="23">
        <v>0.02684</v>
      </c>
      <c r="F619" s="2">
        <f t="shared" si="37"/>
        <v>0.000103230769230769</v>
      </c>
      <c r="G619" s="23">
        <f t="shared" si="39"/>
        <v>-0.0110479893287374</v>
      </c>
    </row>
    <row r="620" spans="1:10">
      <c r="A620" s="28" t="s">
        <v>395</v>
      </c>
      <c r="B620" s="27">
        <v>68503.2</v>
      </c>
      <c r="C620" s="2">
        <f t="shared" si="38"/>
        <v>0.00275194978569923</v>
      </c>
      <c r="D620" s="2">
        <f t="shared" si="40"/>
        <v>0.00274817010462807</v>
      </c>
      <c r="E620" s="23">
        <v>0.02651</v>
      </c>
      <c r="F620" s="2">
        <f t="shared" si="37"/>
        <v>0.000101961538461538</v>
      </c>
      <c r="G620" s="23">
        <f t="shared" si="39"/>
        <v>0.00264620856616653</v>
      </c>
    </row>
    <row r="621" spans="1:10">
      <c r="A621" s="28" t="s">
        <v>396</v>
      </c>
      <c r="B621" s="27">
        <v>68879</v>
      </c>
      <c r="C621" s="2">
        <f t="shared" si="38"/>
        <v>0.00548587511240355</v>
      </c>
      <c r="D621" s="2">
        <f t="shared" si="40"/>
        <v>0.00547088250624559</v>
      </c>
      <c r="E621" s="23">
        <v>0.02579</v>
      </c>
      <c r="F621" s="2">
        <f t="shared" si="37"/>
        <v>9.91923076923077e-5</v>
      </c>
      <c r="G621" s="23">
        <f t="shared" si="39"/>
        <v>0.00537169019855328</v>
      </c>
    </row>
    <row r="622" spans="1:10">
      <c r="A622" s="28" t="s">
        <v>397</v>
      </c>
      <c r="B622" s="27">
        <v>69160.9</v>
      </c>
      <c r="C622" s="2">
        <f t="shared" si="38"/>
        <v>0.00409268427241967</v>
      </c>
      <c r="D622" s="2">
        <f t="shared" si="40"/>
        <v>0.00408433202113904</v>
      </c>
      <c r="E622" s="23">
        <v>0.02636</v>
      </c>
      <c r="F622" s="2">
        <f t="shared" si="37"/>
        <v>0.000101384615384615</v>
      </c>
      <c r="G622" s="23">
        <f t="shared" si="39"/>
        <v>0.00398294740575442</v>
      </c>
    </row>
    <row r="623" spans="1:10">
      <c r="A623" s="28" t="s">
        <v>398</v>
      </c>
      <c r="B623" s="27">
        <v>68691.1</v>
      </c>
      <c r="C623" s="2">
        <f t="shared" si="38"/>
        <v>-0.00679285550072351</v>
      </c>
      <c r="D623" s="2">
        <f t="shared" si="40"/>
        <v>-0.00681603195950293</v>
      </c>
      <c r="E623" s="23">
        <v>0.02672</v>
      </c>
      <c r="F623" s="2">
        <f t="shared" si="37"/>
        <v>0.000102769230769231</v>
      </c>
      <c r="G623" s="23">
        <f t="shared" si="39"/>
        <v>-0.00691880119027216</v>
      </c>
    </row>
    <row r="624" spans="1:10">
      <c r="A624" s="28" t="s">
        <v>399</v>
      </c>
      <c r="B624" s="27">
        <v>68409.2</v>
      </c>
      <c r="C624" s="2">
        <f t="shared" si="38"/>
        <v>-0.00410387954189129</v>
      </c>
      <c r="D624" s="2">
        <f t="shared" si="40"/>
        <v>-0.00411232356562735</v>
      </c>
      <c r="E624" s="23">
        <v>0.02616</v>
      </c>
      <c r="F624" s="2">
        <f t="shared" si="37"/>
        <v>0.000100615384615385</v>
      </c>
      <c r="G624" s="23">
        <f t="shared" si="39"/>
        <v>-0.00421293895024274</v>
      </c>
    </row>
    <row r="625" spans="1:10">
      <c r="A625" s="28" t="s">
        <v>400</v>
      </c>
      <c r="B625" s="27">
        <v>68973</v>
      </c>
      <c r="C625" s="2">
        <f t="shared" si="38"/>
        <v>0.00824158154166403</v>
      </c>
      <c r="D625" s="2">
        <f t="shared" si="40"/>
        <v>0.00820780516213505</v>
      </c>
      <c r="E625" s="23">
        <v>0.02591</v>
      </c>
      <c r="F625" s="2">
        <f t="shared" si="37"/>
        <v>9.96538461538462e-5</v>
      </c>
      <c r="G625" s="23">
        <f t="shared" si="39"/>
        <v>0.00810815131598121</v>
      </c>
    </row>
    <row r="626" spans="1:10">
      <c r="A626" s="26">
        <v>45238</v>
      </c>
      <c r="B626" s="27">
        <v>69067</v>
      </c>
      <c r="C626" s="2">
        <f t="shared" si="38"/>
        <v>0.00136285213054384</v>
      </c>
      <c r="D626" s="2">
        <f t="shared" si="40"/>
        <v>0.0013619242904891</v>
      </c>
      <c r="E626" s="23">
        <v>0.02555</v>
      </c>
      <c r="F626" s="2">
        <f t="shared" si="37"/>
        <v>9.82692307692308e-5</v>
      </c>
      <c r="G626" s="23">
        <f t="shared" si="39"/>
        <v>0.00126365505971987</v>
      </c>
      <c r="J626" s="21"/>
    </row>
    <row r="627" spans="1:10">
      <c r="A627" s="26">
        <v>45207</v>
      </c>
      <c r="B627" s="27">
        <v>68691.1</v>
      </c>
      <c r="C627" s="2">
        <f t="shared" si="38"/>
        <v>-0.00544254130047626</v>
      </c>
      <c r="D627" s="2">
        <f t="shared" si="40"/>
        <v>-0.0054574058869968</v>
      </c>
      <c r="E627" s="23">
        <v>0.02539</v>
      </c>
      <c r="F627" s="2">
        <f t="shared" si="37"/>
        <v>9.76538461538462e-5</v>
      </c>
      <c r="G627" s="23">
        <f t="shared" si="39"/>
        <v>-0.00555505973315065</v>
      </c>
      <c r="J627" s="21"/>
    </row>
    <row r="628" spans="1:10">
      <c r="A628" s="26">
        <v>45177</v>
      </c>
      <c r="B628" s="27">
        <v>68691.1</v>
      </c>
      <c r="C628" s="2">
        <f t="shared" si="38"/>
        <v>0</v>
      </c>
      <c r="D628" s="2">
        <f t="shared" si="40"/>
        <v>0</v>
      </c>
      <c r="E628" s="23">
        <v>0.02598</v>
      </c>
      <c r="F628" s="2">
        <f t="shared" si="37"/>
        <v>9.99230769230769e-5</v>
      </c>
      <c r="G628" s="23">
        <f t="shared" si="39"/>
        <v>-9.99230769230769e-5</v>
      </c>
      <c r="J628" s="21"/>
    </row>
    <row r="629" spans="1:10">
      <c r="A629" s="26">
        <v>45146</v>
      </c>
      <c r="B629" s="27">
        <v>70006.7</v>
      </c>
      <c r="C629" s="2">
        <f t="shared" si="38"/>
        <v>0.0191524083906065</v>
      </c>
      <c r="D629" s="2">
        <f t="shared" si="40"/>
        <v>0.0189713096813518</v>
      </c>
      <c r="E629" s="23">
        <v>0.02574</v>
      </c>
      <c r="F629" s="2">
        <f t="shared" si="37"/>
        <v>9.9e-5</v>
      </c>
      <c r="G629" s="23">
        <f t="shared" si="39"/>
        <v>0.0188723096813518</v>
      </c>
      <c r="J629" s="21"/>
    </row>
    <row r="630" spans="1:10">
      <c r="A630" s="26">
        <v>45115</v>
      </c>
      <c r="B630" s="27">
        <v>70382.5</v>
      </c>
      <c r="C630" s="2">
        <f t="shared" si="38"/>
        <v>0.00536805762876986</v>
      </c>
      <c r="D630" s="2">
        <f t="shared" si="40"/>
        <v>0.00535370096277263</v>
      </c>
      <c r="E630" s="23">
        <v>0.02574</v>
      </c>
      <c r="F630" s="2">
        <f t="shared" si="37"/>
        <v>9.9e-5</v>
      </c>
      <c r="G630" s="23">
        <f t="shared" si="39"/>
        <v>0.00525470096277263</v>
      </c>
      <c r="J630" s="21"/>
    </row>
    <row r="631" spans="1:10">
      <c r="A631" s="26">
        <v>45024</v>
      </c>
      <c r="B631" s="27">
        <v>68597.1</v>
      </c>
      <c r="C631" s="2">
        <f t="shared" si="38"/>
        <v>-0.0253671011970304</v>
      </c>
      <c r="D631" s="2">
        <f t="shared" si="40"/>
        <v>-0.0256943929317374</v>
      </c>
      <c r="E631" s="23">
        <v>0.02498</v>
      </c>
      <c r="F631" s="2">
        <f t="shared" si="37"/>
        <v>9.60769230769231e-5</v>
      </c>
      <c r="G631" s="23">
        <f t="shared" si="39"/>
        <v>-0.0257904698548143</v>
      </c>
      <c r="J631" s="21"/>
    </row>
    <row r="632" spans="1:10">
      <c r="A632" s="26">
        <v>44993</v>
      </c>
      <c r="B632" s="27">
        <v>68221.3</v>
      </c>
      <c r="C632" s="2">
        <f t="shared" si="38"/>
        <v>-0.00547836570350646</v>
      </c>
      <c r="D632" s="2">
        <f t="shared" si="40"/>
        <v>-0.00549342698154272</v>
      </c>
      <c r="E632" s="23">
        <v>0.02527</v>
      </c>
      <c r="F632" s="2">
        <f t="shared" si="37"/>
        <v>9.71923076923077e-5</v>
      </c>
      <c r="G632" s="23">
        <f t="shared" si="39"/>
        <v>-0.00559061928923503</v>
      </c>
      <c r="J632" s="21"/>
    </row>
    <row r="633" spans="1:10">
      <c r="A633" s="26">
        <v>44965</v>
      </c>
      <c r="B633" s="27">
        <v>69207.9</v>
      </c>
      <c r="C633" s="2">
        <f t="shared" si="38"/>
        <v>0.0144617590107487</v>
      </c>
      <c r="D633" s="2">
        <f t="shared" si="40"/>
        <v>0.0143581851531209</v>
      </c>
      <c r="E633" s="23">
        <v>0.02527</v>
      </c>
      <c r="F633" s="2">
        <f t="shared" si="37"/>
        <v>9.71923076923077e-5</v>
      </c>
      <c r="G633" s="23">
        <f t="shared" si="39"/>
        <v>0.0142609928454286</v>
      </c>
      <c r="J633" s="21"/>
    </row>
    <row r="634" spans="1:10">
      <c r="A634" s="26">
        <v>44934</v>
      </c>
      <c r="B634" s="27">
        <v>69117</v>
      </c>
      <c r="C634" s="2">
        <f t="shared" si="38"/>
        <v>-0.00131343387098863</v>
      </c>
      <c r="D634" s="2">
        <f t="shared" si="40"/>
        <v>-0.0013142971812721</v>
      </c>
      <c r="E634" s="23">
        <v>0.02497</v>
      </c>
      <c r="F634" s="2">
        <f t="shared" si="37"/>
        <v>9.60384615384615e-5</v>
      </c>
      <c r="G634" s="23">
        <f t="shared" si="39"/>
        <v>-0.00141033564281056</v>
      </c>
    </row>
    <row r="635" spans="1:10">
      <c r="A635" s="28" t="s">
        <v>401</v>
      </c>
      <c r="B635" s="27">
        <v>70935.8</v>
      </c>
      <c r="C635" s="2">
        <f t="shared" si="38"/>
        <v>0.0263147995428043</v>
      </c>
      <c r="D635" s="2">
        <f t="shared" si="40"/>
        <v>0.0259745218547587</v>
      </c>
      <c r="E635" s="23">
        <v>0.02561</v>
      </c>
      <c r="F635" s="2">
        <f t="shared" si="37"/>
        <v>9.85e-5</v>
      </c>
      <c r="G635" s="23">
        <f t="shared" si="39"/>
        <v>0.0258760218547587</v>
      </c>
    </row>
    <row r="636" spans="1:10">
      <c r="A636" s="28" t="s">
        <v>402</v>
      </c>
      <c r="B636" s="27">
        <v>70390.2</v>
      </c>
      <c r="C636" s="2">
        <f t="shared" si="38"/>
        <v>-0.00769146185705956</v>
      </c>
      <c r="D636" s="2">
        <f t="shared" si="40"/>
        <v>-0.00772119370216311</v>
      </c>
      <c r="E636" s="23">
        <v>0.02551</v>
      </c>
      <c r="F636" s="2">
        <f t="shared" si="37"/>
        <v>9.81153846153846e-5</v>
      </c>
      <c r="G636" s="23">
        <f t="shared" si="39"/>
        <v>-0.0078193090867785</v>
      </c>
    </row>
    <row r="637" spans="1:10">
      <c r="A637" s="28" t="s">
        <v>403</v>
      </c>
      <c r="B637" s="27">
        <v>68844.1</v>
      </c>
      <c r="C637" s="2">
        <f t="shared" si="38"/>
        <v>-0.0219647053140919</v>
      </c>
      <c r="D637" s="2">
        <f t="shared" si="40"/>
        <v>-0.022209520962601</v>
      </c>
      <c r="E637" s="23">
        <v>0.02537</v>
      </c>
      <c r="F637" s="2">
        <f t="shared" si="37"/>
        <v>9.75769230769231e-5</v>
      </c>
      <c r="G637" s="23">
        <f t="shared" si="39"/>
        <v>-0.0223070978856779</v>
      </c>
    </row>
    <row r="638" spans="1:10">
      <c r="A638" s="28" t="s">
        <v>404</v>
      </c>
      <c r="B638" s="27">
        <v>68207.5</v>
      </c>
      <c r="C638" s="2">
        <f t="shared" si="38"/>
        <v>-0.00924697977023457</v>
      </c>
      <c r="D638" s="2">
        <f t="shared" si="40"/>
        <v>-0.00928999848851727</v>
      </c>
      <c r="E638" s="23">
        <v>0.02595</v>
      </c>
      <c r="F638" s="2">
        <f t="shared" si="37"/>
        <v>9.98076923076923e-5</v>
      </c>
      <c r="G638" s="23">
        <f t="shared" si="39"/>
        <v>-0.00938980618082496</v>
      </c>
    </row>
    <row r="639" spans="1:10">
      <c r="A639" s="28" t="s">
        <v>405</v>
      </c>
      <c r="B639" s="27">
        <v>67752.8</v>
      </c>
      <c r="C639" s="2">
        <f t="shared" si="38"/>
        <v>-0.00666642231426159</v>
      </c>
      <c r="D639" s="2">
        <f t="shared" si="40"/>
        <v>-0.00668874215847279</v>
      </c>
      <c r="E639" s="23">
        <v>0.02564</v>
      </c>
      <c r="F639" s="2">
        <f t="shared" si="37"/>
        <v>9.86153846153846e-5</v>
      </c>
      <c r="G639" s="23">
        <f t="shared" si="39"/>
        <v>-0.00678735754308818</v>
      </c>
    </row>
    <row r="640" spans="1:10">
      <c r="A640" s="28" t="s">
        <v>406</v>
      </c>
      <c r="B640" s="27">
        <v>66934.3</v>
      </c>
      <c r="C640" s="2">
        <f t="shared" si="38"/>
        <v>-0.0120806815364088</v>
      </c>
      <c r="D640" s="2">
        <f t="shared" si="40"/>
        <v>-0.012154246042847</v>
      </c>
      <c r="E640" s="23">
        <v>0.02599</v>
      </c>
      <c r="F640" s="2">
        <f t="shared" si="37"/>
        <v>9.99615384615385e-5</v>
      </c>
      <c r="G640" s="23">
        <f t="shared" si="39"/>
        <v>-0.0122542075813085</v>
      </c>
    </row>
    <row r="641" spans="1:10">
      <c r="A641" s="28" t="s">
        <v>407</v>
      </c>
      <c r="B641" s="27">
        <v>66843.4</v>
      </c>
      <c r="C641" s="2">
        <f t="shared" si="38"/>
        <v>-0.00135804811583909</v>
      </c>
      <c r="D641" s="2">
        <f t="shared" si="40"/>
        <v>-0.00135897109891312</v>
      </c>
      <c r="E641" s="23">
        <v>0.02561</v>
      </c>
      <c r="F641" s="2">
        <f t="shared" si="37"/>
        <v>9.85e-5</v>
      </c>
      <c r="G641" s="23">
        <f t="shared" si="39"/>
        <v>-0.00145747109891312</v>
      </c>
    </row>
    <row r="642" spans="1:10">
      <c r="A642" s="28" t="s">
        <v>408</v>
      </c>
      <c r="B642" s="27">
        <v>66024.9</v>
      </c>
      <c r="C642" s="2">
        <f t="shared" si="38"/>
        <v>-0.0122450384031931</v>
      </c>
      <c r="D642" s="2">
        <f t="shared" si="40"/>
        <v>-0.0123206265731016</v>
      </c>
      <c r="E642" s="23">
        <v>0.02578</v>
      </c>
      <c r="F642" s="2">
        <f t="shared" si="37"/>
        <v>9.91538461538461e-5</v>
      </c>
      <c r="G642" s="23">
        <f t="shared" si="39"/>
        <v>-0.0124197804192554</v>
      </c>
    </row>
    <row r="643" spans="1:10">
      <c r="A643" s="28" t="s">
        <v>409</v>
      </c>
      <c r="B643" s="27">
        <v>66024.9</v>
      </c>
      <c r="C643" s="2">
        <f t="shared" si="38"/>
        <v>0</v>
      </c>
      <c r="D643" s="2">
        <f t="shared" si="40"/>
        <v>0</v>
      </c>
      <c r="E643" s="23">
        <v>0.02603</v>
      </c>
      <c r="F643" s="2">
        <f t="shared" ref="F643:F706" si="41">E643/260</f>
        <v>0.000100115384615385</v>
      </c>
      <c r="G643" s="23">
        <f t="shared" si="39"/>
        <v>-0.000100115384615385</v>
      </c>
    </row>
    <row r="644" spans="1:10">
      <c r="A644" s="28" t="s">
        <v>410</v>
      </c>
      <c r="B644" s="27">
        <v>65843</v>
      </c>
      <c r="C644" s="2">
        <f t="shared" ref="C644:C707" si="42">(B644-B643)/B643</f>
        <v>-0.00275502121169429</v>
      </c>
      <c r="D644" s="2">
        <f t="shared" si="40"/>
        <v>-0.00275882326740102</v>
      </c>
      <c r="E644" s="23">
        <v>0.02658</v>
      </c>
      <c r="F644" s="2">
        <f t="shared" si="41"/>
        <v>0.000102230769230769</v>
      </c>
      <c r="G644" s="23">
        <f t="shared" ref="G644:G707" si="43">D644-F644</f>
        <v>-0.00286105403663179</v>
      </c>
    </row>
    <row r="645" spans="1:10">
      <c r="A645" s="28" t="s">
        <v>411</v>
      </c>
      <c r="B645" s="27">
        <v>65752.1</v>
      </c>
      <c r="C645" s="2">
        <f t="shared" si="42"/>
        <v>-0.00138055677900451</v>
      </c>
      <c r="D645" s="2">
        <f t="shared" si="40"/>
        <v>-0.00138151062550844</v>
      </c>
      <c r="E645" s="23">
        <v>0.02673</v>
      </c>
      <c r="F645" s="2">
        <f t="shared" si="41"/>
        <v>0.000102807692307692</v>
      </c>
      <c r="G645" s="23">
        <f t="shared" si="43"/>
        <v>-0.00148431831781614</v>
      </c>
    </row>
    <row r="646" spans="1:10">
      <c r="A646" s="28" t="s">
        <v>412</v>
      </c>
      <c r="B646" s="27">
        <v>66661.5</v>
      </c>
      <c r="C646" s="2">
        <f t="shared" si="42"/>
        <v>0.013830736965055</v>
      </c>
      <c r="D646" s="2">
        <f t="shared" si="40"/>
        <v>0.0137359651653189</v>
      </c>
      <c r="E646" s="23">
        <v>0.02793</v>
      </c>
      <c r="F646" s="2">
        <f t="shared" si="41"/>
        <v>0.000107423076923077</v>
      </c>
      <c r="G646" s="23">
        <f t="shared" si="43"/>
        <v>0.0136285420883958</v>
      </c>
    </row>
    <row r="647" spans="1:10">
      <c r="A647" s="28" t="s">
        <v>413</v>
      </c>
      <c r="B647" s="27">
        <v>66479.6</v>
      </c>
      <c r="C647" s="2">
        <f t="shared" si="42"/>
        <v>-0.00272871147513924</v>
      </c>
      <c r="D647" s="2">
        <f t="shared" si="40"/>
        <v>-0.00273244119472732</v>
      </c>
      <c r="E647" s="23">
        <v>0.02778</v>
      </c>
      <c r="F647" s="2">
        <f t="shared" si="41"/>
        <v>0.000106846153846154</v>
      </c>
      <c r="G647" s="23">
        <f t="shared" si="43"/>
        <v>-0.00283928734857347</v>
      </c>
    </row>
    <row r="648" spans="1:10">
      <c r="A648" s="26">
        <v>45267</v>
      </c>
      <c r="B648" s="27">
        <v>66843.4</v>
      </c>
      <c r="C648" s="2">
        <f t="shared" si="42"/>
        <v>0.00547235542933454</v>
      </c>
      <c r="D648" s="2">
        <f t="shared" si="40"/>
        <v>0.00545743649541957</v>
      </c>
      <c r="E648" s="23">
        <v>0.02834</v>
      </c>
      <c r="F648" s="2">
        <f t="shared" si="41"/>
        <v>0.000109</v>
      </c>
      <c r="G648" s="23">
        <f t="shared" si="43"/>
        <v>0.00534843649541957</v>
      </c>
      <c r="J648" s="21"/>
    </row>
    <row r="649" spans="1:10">
      <c r="A649" s="26">
        <v>45237</v>
      </c>
      <c r="B649" s="27">
        <v>66206.8</v>
      </c>
      <c r="C649" s="2">
        <f t="shared" si="42"/>
        <v>-0.00952375253203744</v>
      </c>
      <c r="D649" s="2">
        <f t="shared" si="40"/>
        <v>-0.00956939347638244</v>
      </c>
      <c r="E649" s="23">
        <v>0.02787</v>
      </c>
      <c r="F649" s="2">
        <f t="shared" si="41"/>
        <v>0.000107192307692308</v>
      </c>
      <c r="G649" s="23">
        <f t="shared" si="43"/>
        <v>-0.00967658578407475</v>
      </c>
      <c r="J649" s="21"/>
    </row>
    <row r="650" spans="1:10">
      <c r="A650" s="26">
        <v>45206</v>
      </c>
      <c r="B650" s="27">
        <v>65570.2</v>
      </c>
      <c r="C650" s="2">
        <f t="shared" si="42"/>
        <v>-0.00961532652235127</v>
      </c>
      <c r="D650" s="2">
        <f t="shared" si="40"/>
        <v>-0.00966185225469528</v>
      </c>
      <c r="E650" s="23">
        <v>0.02842</v>
      </c>
      <c r="F650" s="2">
        <f t="shared" si="41"/>
        <v>0.000109307692307692</v>
      </c>
      <c r="G650" s="23">
        <f t="shared" si="43"/>
        <v>-0.00977115994700297</v>
      </c>
      <c r="J650" s="21"/>
    </row>
    <row r="651" spans="1:10">
      <c r="A651" s="26">
        <v>45114</v>
      </c>
      <c r="B651" s="27">
        <v>64478.9</v>
      </c>
      <c r="C651" s="2">
        <f t="shared" si="42"/>
        <v>-0.0166432312239401</v>
      </c>
      <c r="D651" s="2">
        <f t="shared" si="40"/>
        <v>-0.0167832859467541</v>
      </c>
      <c r="E651" s="23">
        <v>0.02914</v>
      </c>
      <c r="F651" s="2">
        <f t="shared" si="41"/>
        <v>0.000112076923076923</v>
      </c>
      <c r="G651" s="23">
        <f t="shared" si="43"/>
        <v>-0.0168953628698311</v>
      </c>
      <c r="J651" s="21"/>
    </row>
    <row r="652" spans="1:10">
      <c r="A652" s="26">
        <v>45084</v>
      </c>
      <c r="B652" s="27">
        <v>64115.1</v>
      </c>
      <c r="C652" s="2">
        <f t="shared" si="42"/>
        <v>-0.0056421558060079</v>
      </c>
      <c r="D652" s="2">
        <f t="shared" si="40"/>
        <v>-0.00565813289222569</v>
      </c>
      <c r="E652" s="23">
        <v>0.02864</v>
      </c>
      <c r="F652" s="2">
        <f t="shared" si="41"/>
        <v>0.000110153846153846</v>
      </c>
      <c r="G652" s="23">
        <f t="shared" si="43"/>
        <v>-0.00576828673837953</v>
      </c>
      <c r="J652" s="21"/>
    </row>
    <row r="653" spans="1:10">
      <c r="A653" s="26">
        <v>45053</v>
      </c>
      <c r="B653" s="27">
        <v>63478.5</v>
      </c>
      <c r="C653" s="2">
        <f t="shared" si="42"/>
        <v>-0.00992901828118491</v>
      </c>
      <c r="D653" s="2">
        <f t="shared" si="40"/>
        <v>-0.00997863971785693</v>
      </c>
      <c r="E653" s="23">
        <v>0.02839</v>
      </c>
      <c r="F653" s="2">
        <f t="shared" si="41"/>
        <v>0.000109192307692308</v>
      </c>
      <c r="G653" s="23">
        <f t="shared" si="43"/>
        <v>-0.0100878320255492</v>
      </c>
      <c r="J653" s="21"/>
    </row>
    <row r="654" spans="1:10">
      <c r="A654" s="26">
        <v>45023</v>
      </c>
      <c r="B654" s="27">
        <v>64206</v>
      </c>
      <c r="C654" s="2">
        <f t="shared" si="42"/>
        <v>0.0114605732649637</v>
      </c>
      <c r="D654" s="2">
        <f t="shared" si="40"/>
        <v>0.0113953983834947</v>
      </c>
      <c r="E654" s="23">
        <v>0.02876</v>
      </c>
      <c r="F654" s="2">
        <f t="shared" si="41"/>
        <v>0.000110615384615385</v>
      </c>
      <c r="G654" s="23">
        <f t="shared" si="43"/>
        <v>0.0112847829988793</v>
      </c>
      <c r="J654" s="21"/>
    </row>
    <row r="655" spans="1:10">
      <c r="A655" s="26">
        <v>44992</v>
      </c>
      <c r="B655" s="27">
        <v>64297</v>
      </c>
      <c r="C655" s="2">
        <f t="shared" si="42"/>
        <v>0.00141731302370495</v>
      </c>
      <c r="D655" s="2">
        <f t="shared" si="40"/>
        <v>0.00141630958361528</v>
      </c>
      <c r="E655" s="23">
        <v>0.02863</v>
      </c>
      <c r="F655" s="2">
        <f t="shared" si="41"/>
        <v>0.000110115384615385</v>
      </c>
      <c r="G655" s="23">
        <f t="shared" si="43"/>
        <v>0.0013061941989999</v>
      </c>
      <c r="J655" s="21"/>
    </row>
    <row r="656" spans="1:10">
      <c r="A656" s="28" t="s">
        <v>414</v>
      </c>
      <c r="B656" s="27">
        <v>64569.8</v>
      </c>
      <c r="C656" s="2">
        <f t="shared" si="42"/>
        <v>0.00424281070656489</v>
      </c>
      <c r="D656" s="2">
        <f t="shared" si="40"/>
        <v>0.0042338353633846</v>
      </c>
      <c r="E656" s="23">
        <v>0.02747</v>
      </c>
      <c r="F656" s="2">
        <f t="shared" si="41"/>
        <v>0.000105653846153846</v>
      </c>
      <c r="G656" s="23">
        <f t="shared" si="43"/>
        <v>0.00412818151723075</v>
      </c>
      <c r="J656" s="21"/>
    </row>
    <row r="657" spans="1:10">
      <c r="A657" s="28" t="s">
        <v>415</v>
      </c>
      <c r="B657" s="27">
        <v>65388.3</v>
      </c>
      <c r="C657" s="2">
        <f t="shared" si="42"/>
        <v>0.0126762046653389</v>
      </c>
      <c r="D657" s="2">
        <f t="shared" si="40"/>
        <v>0.0125965341563154</v>
      </c>
      <c r="E657" s="23">
        <v>0.02699</v>
      </c>
      <c r="F657" s="2">
        <f t="shared" si="41"/>
        <v>0.000103807692307692</v>
      </c>
      <c r="G657" s="23">
        <f t="shared" si="43"/>
        <v>0.0124927264640077</v>
      </c>
    </row>
    <row r="658" spans="1:10">
      <c r="A658" s="28" t="s">
        <v>416</v>
      </c>
      <c r="B658" s="27">
        <v>64206</v>
      </c>
      <c r="C658" s="2">
        <f t="shared" si="42"/>
        <v>-0.0180812163643955</v>
      </c>
      <c r="D658" s="2">
        <f t="shared" si="40"/>
        <v>-0.0182466791033154</v>
      </c>
      <c r="E658" s="23">
        <v>0.02662</v>
      </c>
      <c r="F658" s="2">
        <f t="shared" si="41"/>
        <v>0.000102384615384615</v>
      </c>
      <c r="G658" s="23">
        <f t="shared" si="43"/>
        <v>-0.0183490637187</v>
      </c>
    </row>
    <row r="659" spans="1:10">
      <c r="A659" s="28" t="s">
        <v>417</v>
      </c>
      <c r="B659" s="27">
        <v>64115.1</v>
      </c>
      <c r="C659" s="2">
        <f t="shared" si="42"/>
        <v>-0.00141575553686574</v>
      </c>
      <c r="D659" s="2">
        <f t="shared" si="40"/>
        <v>-0.00141675866563763</v>
      </c>
      <c r="E659" s="23">
        <v>0.0269</v>
      </c>
      <c r="F659" s="2">
        <f t="shared" si="41"/>
        <v>0.000103461538461538</v>
      </c>
      <c r="G659" s="23">
        <f t="shared" si="43"/>
        <v>-0.00152022020409916</v>
      </c>
    </row>
    <row r="660" spans="1:10">
      <c r="A660" s="28" t="s">
        <v>418</v>
      </c>
      <c r="B660" s="27">
        <v>64206</v>
      </c>
      <c r="C660" s="2">
        <f t="shared" si="42"/>
        <v>0.00141776274231814</v>
      </c>
      <c r="D660" s="2">
        <f t="shared" si="40"/>
        <v>0.00141675866563774</v>
      </c>
      <c r="E660" s="23">
        <v>0.02691</v>
      </c>
      <c r="F660" s="2">
        <f t="shared" si="41"/>
        <v>0.0001035</v>
      </c>
      <c r="G660" s="23">
        <f t="shared" si="43"/>
        <v>0.00131325866563774</v>
      </c>
    </row>
    <row r="661" spans="1:10">
      <c r="A661" s="28" t="s">
        <v>419</v>
      </c>
      <c r="B661" s="27">
        <v>62841.9</v>
      </c>
      <c r="C661" s="2">
        <f t="shared" si="42"/>
        <v>-0.0212456779740211</v>
      </c>
      <c r="D661" s="2">
        <f t="shared" si="40"/>
        <v>-0.021474615823805</v>
      </c>
      <c r="E661" s="23">
        <v>0.02743</v>
      </c>
      <c r="F661" s="2">
        <f t="shared" si="41"/>
        <v>0.0001055</v>
      </c>
      <c r="G661" s="23">
        <f t="shared" si="43"/>
        <v>-0.021580115823805</v>
      </c>
    </row>
    <row r="662" spans="1:10">
      <c r="A662" s="28" t="s">
        <v>420</v>
      </c>
      <c r="B662" s="27">
        <v>60841.1</v>
      </c>
      <c r="C662" s="2">
        <f t="shared" si="42"/>
        <v>-0.0318386299586741</v>
      </c>
      <c r="D662" s="2">
        <f t="shared" si="40"/>
        <v>-0.0323565010110793</v>
      </c>
      <c r="E662" s="23">
        <v>0.02684</v>
      </c>
      <c r="F662" s="2">
        <f t="shared" si="41"/>
        <v>0.000103230769230769</v>
      </c>
      <c r="G662" s="23">
        <f t="shared" si="43"/>
        <v>-0.0324597317803101</v>
      </c>
    </row>
    <row r="663" spans="1:10">
      <c r="A663" s="28" t="s">
        <v>421</v>
      </c>
      <c r="B663" s="27">
        <v>60295.5</v>
      </c>
      <c r="C663" s="2">
        <f t="shared" si="42"/>
        <v>-0.00896762221590337</v>
      </c>
      <c r="D663" s="2">
        <f t="shared" si="40"/>
        <v>-0.00900807335528996</v>
      </c>
      <c r="E663" s="23">
        <v>0.02845</v>
      </c>
      <c r="F663" s="2">
        <f t="shared" si="41"/>
        <v>0.000109423076923077</v>
      </c>
      <c r="G663" s="23">
        <f t="shared" si="43"/>
        <v>-0.00911749643221304</v>
      </c>
    </row>
    <row r="664" spans="1:10">
      <c r="A664" s="28" t="s">
        <v>422</v>
      </c>
      <c r="B664" s="27">
        <v>59567.9</v>
      </c>
      <c r="C664" s="2">
        <f t="shared" si="42"/>
        <v>-0.0120672355316732</v>
      </c>
      <c r="D664" s="2">
        <f t="shared" si="40"/>
        <v>-0.0121406357074862</v>
      </c>
      <c r="E664" s="23">
        <v>0.02857</v>
      </c>
      <c r="F664" s="2">
        <f t="shared" si="41"/>
        <v>0.000109884615384615</v>
      </c>
      <c r="G664" s="23">
        <f t="shared" si="43"/>
        <v>-0.0122505203228709</v>
      </c>
    </row>
    <row r="665" spans="1:10">
      <c r="A665" s="28" t="s">
        <v>423</v>
      </c>
      <c r="B665" s="27">
        <v>59840.7</v>
      </c>
      <c r="C665" s="2">
        <f t="shared" si="42"/>
        <v>0.00457964776330869</v>
      </c>
      <c r="D665" s="2">
        <f t="shared" si="40"/>
        <v>0.00456919308350611</v>
      </c>
      <c r="E665" s="23">
        <v>0.02898</v>
      </c>
      <c r="F665" s="2">
        <f t="shared" si="41"/>
        <v>0.000111461538461538</v>
      </c>
      <c r="G665" s="23">
        <f t="shared" si="43"/>
        <v>0.00445773154504457</v>
      </c>
    </row>
    <row r="666" spans="1:10">
      <c r="A666" s="28" t="s">
        <v>424</v>
      </c>
      <c r="B666" s="27">
        <v>60113.6</v>
      </c>
      <c r="C666" s="2">
        <f t="shared" si="42"/>
        <v>0.00456044130499813</v>
      </c>
      <c r="D666" s="2">
        <f t="shared" si="40"/>
        <v>0.00455007400025698</v>
      </c>
      <c r="E666" s="23">
        <v>0.02936</v>
      </c>
      <c r="F666" s="2">
        <f t="shared" si="41"/>
        <v>0.000112923076923077</v>
      </c>
      <c r="G666" s="23">
        <f t="shared" si="43"/>
        <v>0.0044371509233339</v>
      </c>
    </row>
    <row r="667" spans="1:10">
      <c r="A667" s="28" t="s">
        <v>425</v>
      </c>
      <c r="B667" s="27">
        <v>60295.5</v>
      </c>
      <c r="C667" s="2">
        <f t="shared" si="42"/>
        <v>0.00302593755822312</v>
      </c>
      <c r="D667" s="2">
        <f t="shared" si="40"/>
        <v>0.00302136862372325</v>
      </c>
      <c r="E667" s="23">
        <v>0.03065</v>
      </c>
      <c r="F667" s="2">
        <f t="shared" si="41"/>
        <v>0.000117884615384615</v>
      </c>
      <c r="G667" s="23">
        <f t="shared" si="43"/>
        <v>0.00290348400833864</v>
      </c>
    </row>
    <row r="668" spans="1:10">
      <c r="A668" s="28" t="s">
        <v>426</v>
      </c>
      <c r="B668" s="27">
        <v>61023</v>
      </c>
      <c r="C668" s="2">
        <f t="shared" si="42"/>
        <v>0.0120655770331119</v>
      </c>
      <c r="D668" s="2">
        <f t="shared" si="40"/>
        <v>0.0119933682057147</v>
      </c>
      <c r="E668" s="23">
        <v>0.03058</v>
      </c>
      <c r="F668" s="2">
        <f t="shared" si="41"/>
        <v>0.000117615384615385</v>
      </c>
      <c r="G668" s="23">
        <f t="shared" si="43"/>
        <v>0.0118757528210994</v>
      </c>
    </row>
    <row r="669" spans="1:10">
      <c r="A669" s="28" t="s">
        <v>427</v>
      </c>
      <c r="B669" s="27">
        <v>61477.7</v>
      </c>
      <c r="C669" s="2">
        <f t="shared" si="42"/>
        <v>0.00745128885829928</v>
      </c>
      <c r="D669" s="2">
        <f t="shared" si="40"/>
        <v>0.0074236651421307</v>
      </c>
      <c r="E669" s="23">
        <v>0.03103</v>
      </c>
      <c r="F669" s="2">
        <f t="shared" si="41"/>
        <v>0.000119346153846154</v>
      </c>
      <c r="G669" s="23">
        <f t="shared" si="43"/>
        <v>0.00730431898828455</v>
      </c>
    </row>
    <row r="670" spans="1:10">
      <c r="A670" s="26">
        <v>45266</v>
      </c>
      <c r="B670" s="27">
        <v>61750.5</v>
      </c>
      <c r="C670" s="2">
        <f t="shared" si="42"/>
        <v>0.0044373813594198</v>
      </c>
      <c r="D670" s="2">
        <f t="shared" si="40"/>
        <v>0.0044275652107063</v>
      </c>
      <c r="E670" s="23">
        <v>0.03164</v>
      </c>
      <c r="F670" s="2">
        <f t="shared" si="41"/>
        <v>0.000121692307692308</v>
      </c>
      <c r="G670" s="23">
        <f t="shared" si="43"/>
        <v>0.00430587290301399</v>
      </c>
      <c r="J670" s="21"/>
    </row>
    <row r="671" spans="1:10">
      <c r="A671" s="26">
        <v>45175</v>
      </c>
      <c r="B671" s="27">
        <v>59840.7</v>
      </c>
      <c r="C671" s="2">
        <f t="shared" si="42"/>
        <v>-0.0309276847960746</v>
      </c>
      <c r="D671" s="2">
        <f t="shared" si="40"/>
        <v>-0.0314160411825317</v>
      </c>
      <c r="E671" s="23">
        <v>0.03163</v>
      </c>
      <c r="F671" s="2">
        <f t="shared" si="41"/>
        <v>0.000121653846153846</v>
      </c>
      <c r="G671" s="23">
        <f t="shared" si="43"/>
        <v>-0.0315376950286856</v>
      </c>
      <c r="J671" s="21"/>
    </row>
    <row r="672" spans="1:10">
      <c r="A672" s="26">
        <v>45144</v>
      </c>
      <c r="B672" s="27">
        <v>59567.9</v>
      </c>
      <c r="C672" s="2">
        <f t="shared" si="42"/>
        <v>-0.00455877020155171</v>
      </c>
      <c r="D672" s="2">
        <f t="shared" si="40"/>
        <v>-0.00456919308350613</v>
      </c>
      <c r="E672" s="23">
        <v>0.03205</v>
      </c>
      <c r="F672" s="2">
        <f t="shared" si="41"/>
        <v>0.000123269230769231</v>
      </c>
      <c r="G672" s="23">
        <f t="shared" si="43"/>
        <v>-0.00469246231427536</v>
      </c>
      <c r="J672" s="21"/>
    </row>
    <row r="673" spans="1:10">
      <c r="A673" s="26">
        <v>45113</v>
      </c>
      <c r="B673" s="27">
        <v>60204.5</v>
      </c>
      <c r="C673" s="2">
        <f t="shared" si="42"/>
        <v>0.0106869639520614</v>
      </c>
      <c r="D673" s="2">
        <f t="shared" ref="D673:D736" si="44">LN(B673/B672)</f>
        <v>0.0106302619763774</v>
      </c>
      <c r="E673" s="23">
        <v>0.03188</v>
      </c>
      <c r="F673" s="2">
        <f t="shared" si="41"/>
        <v>0.000122615384615385</v>
      </c>
      <c r="G673" s="23">
        <f t="shared" si="43"/>
        <v>0.010507646591762</v>
      </c>
      <c r="J673" s="21"/>
    </row>
    <row r="674" spans="1:10">
      <c r="A674" s="26">
        <v>45083</v>
      </c>
      <c r="B674" s="27">
        <v>60386.4</v>
      </c>
      <c r="C674" s="2">
        <f t="shared" si="42"/>
        <v>0.00302136883455558</v>
      </c>
      <c r="D674" s="2">
        <f t="shared" si="44"/>
        <v>0.00301681367264801</v>
      </c>
      <c r="E674" s="23">
        <v>0.03196</v>
      </c>
      <c r="F674" s="2">
        <f t="shared" si="41"/>
        <v>0.000122923076923077</v>
      </c>
      <c r="G674" s="23">
        <f t="shared" si="43"/>
        <v>0.00289389059572494</v>
      </c>
      <c r="J674" s="21"/>
    </row>
    <row r="675" spans="1:10">
      <c r="A675" s="26">
        <v>45052</v>
      </c>
      <c r="B675" s="27">
        <v>60477.3</v>
      </c>
      <c r="C675" s="2">
        <f t="shared" si="42"/>
        <v>0.00150530583045191</v>
      </c>
      <c r="D675" s="2">
        <f t="shared" si="44"/>
        <v>0.00150417399332866</v>
      </c>
      <c r="E675" s="23">
        <v>0.03204</v>
      </c>
      <c r="F675" s="2">
        <f t="shared" si="41"/>
        <v>0.000123230769230769</v>
      </c>
      <c r="G675" s="23">
        <f t="shared" si="43"/>
        <v>0.00138094322409789</v>
      </c>
      <c r="J675" s="21"/>
    </row>
    <row r="676" spans="1:10">
      <c r="A676" s="26">
        <v>44963</v>
      </c>
      <c r="B676" s="27">
        <v>59931.7</v>
      </c>
      <c r="C676" s="2">
        <f t="shared" si="42"/>
        <v>-0.00902156676968062</v>
      </c>
      <c r="D676" s="2">
        <f t="shared" si="44"/>
        <v>-0.00906250752233961</v>
      </c>
      <c r="E676" s="23">
        <v>0.03181</v>
      </c>
      <c r="F676" s="2">
        <f t="shared" si="41"/>
        <v>0.000122346153846154</v>
      </c>
      <c r="G676" s="23">
        <f t="shared" si="43"/>
        <v>-0.00918485367618576</v>
      </c>
      <c r="J676" s="21"/>
    </row>
    <row r="677" spans="1:10">
      <c r="A677" s="26">
        <v>44932</v>
      </c>
      <c r="B677" s="27">
        <v>60113.6</v>
      </c>
      <c r="C677" s="2">
        <f t="shared" si="42"/>
        <v>0.00303512164680797</v>
      </c>
      <c r="D677" s="2">
        <f t="shared" si="44"/>
        <v>0.00303052496374879</v>
      </c>
      <c r="E677" s="23">
        <v>0.03232</v>
      </c>
      <c r="F677" s="2">
        <f t="shared" si="41"/>
        <v>0.000124307692307692</v>
      </c>
      <c r="G677" s="23">
        <f t="shared" si="43"/>
        <v>0.00290621727144109</v>
      </c>
      <c r="J677" s="21"/>
    </row>
    <row r="678" spans="1:10">
      <c r="A678" s="28" t="s">
        <v>428</v>
      </c>
      <c r="B678" s="27">
        <v>60113.6</v>
      </c>
      <c r="C678" s="2">
        <f t="shared" si="42"/>
        <v>0</v>
      </c>
      <c r="D678" s="2">
        <f t="shared" si="44"/>
        <v>0</v>
      </c>
      <c r="E678" s="23">
        <v>0.0327</v>
      </c>
      <c r="F678" s="2">
        <f t="shared" si="41"/>
        <v>0.000125769230769231</v>
      </c>
      <c r="G678" s="23">
        <f t="shared" si="43"/>
        <v>-0.000125769230769231</v>
      </c>
    </row>
    <row r="679" spans="1:10">
      <c r="A679" s="28" t="s">
        <v>429</v>
      </c>
      <c r="B679" s="27">
        <v>60477.3</v>
      </c>
      <c r="C679" s="2">
        <f t="shared" si="42"/>
        <v>0.00605021159937193</v>
      </c>
      <c r="D679" s="2">
        <f t="shared" si="44"/>
        <v>0.00603198255859096</v>
      </c>
      <c r="E679" s="23">
        <v>0.03282</v>
      </c>
      <c r="F679" s="2">
        <f t="shared" si="41"/>
        <v>0.000126230769230769</v>
      </c>
      <c r="G679" s="23">
        <f t="shared" si="43"/>
        <v>0.00590575178936019</v>
      </c>
    </row>
    <row r="680" spans="1:10">
      <c r="A680" s="28" t="s">
        <v>430</v>
      </c>
      <c r="B680" s="27">
        <v>61023</v>
      </c>
      <c r="C680" s="2">
        <f t="shared" si="42"/>
        <v>0.00902322028265146</v>
      </c>
      <c r="D680" s="2">
        <f t="shared" si="44"/>
        <v>0.00898275427084699</v>
      </c>
      <c r="E680" s="23">
        <v>0.03361</v>
      </c>
      <c r="F680" s="2">
        <f t="shared" si="41"/>
        <v>0.000129269230769231</v>
      </c>
      <c r="G680" s="23">
        <f t="shared" si="43"/>
        <v>0.00885348504007776</v>
      </c>
    </row>
    <row r="681" spans="1:10">
      <c r="A681" s="28" t="s">
        <v>431</v>
      </c>
      <c r="B681" s="27">
        <v>61023</v>
      </c>
      <c r="C681" s="2">
        <f t="shared" si="42"/>
        <v>0</v>
      </c>
      <c r="D681" s="2">
        <f t="shared" si="44"/>
        <v>0</v>
      </c>
      <c r="E681" s="23">
        <v>0.03308</v>
      </c>
      <c r="F681" s="2">
        <f t="shared" si="41"/>
        <v>0.000127230769230769</v>
      </c>
      <c r="G681" s="23">
        <f t="shared" si="43"/>
        <v>-0.000127230769230769</v>
      </c>
    </row>
    <row r="682" spans="1:10">
      <c r="A682" s="28" t="s">
        <v>432</v>
      </c>
      <c r="B682" s="27">
        <v>61023</v>
      </c>
      <c r="C682" s="2">
        <f t="shared" si="42"/>
        <v>0</v>
      </c>
      <c r="D682" s="2">
        <f t="shared" si="44"/>
        <v>0</v>
      </c>
      <c r="E682" s="23">
        <v>0.03238</v>
      </c>
      <c r="F682" s="2">
        <f t="shared" si="41"/>
        <v>0.000124538461538462</v>
      </c>
      <c r="G682" s="23">
        <f t="shared" si="43"/>
        <v>-0.000124538461538462</v>
      </c>
    </row>
    <row r="683" spans="1:10">
      <c r="A683" s="28" t="s">
        <v>433</v>
      </c>
      <c r="B683" s="27">
        <v>60295.5</v>
      </c>
      <c r="C683" s="2">
        <f t="shared" si="42"/>
        <v>-0.0119217344280026</v>
      </c>
      <c r="D683" s="2">
        <f t="shared" si="44"/>
        <v>-0.0119933682057147</v>
      </c>
      <c r="E683" s="23">
        <v>0.03146</v>
      </c>
      <c r="F683" s="2">
        <f t="shared" si="41"/>
        <v>0.000121</v>
      </c>
      <c r="G683" s="23">
        <f t="shared" si="43"/>
        <v>-0.0121143682057147</v>
      </c>
    </row>
    <row r="684" spans="1:10">
      <c r="A684" s="28" t="s">
        <v>434</v>
      </c>
      <c r="B684" s="27">
        <v>60932.1</v>
      </c>
      <c r="C684" s="2">
        <f t="shared" si="42"/>
        <v>0.0105580018409334</v>
      </c>
      <c r="D684" s="2">
        <f t="shared" si="44"/>
        <v>0.0105026553641304</v>
      </c>
      <c r="E684" s="23">
        <v>0.03131</v>
      </c>
      <c r="F684" s="2">
        <f t="shared" si="41"/>
        <v>0.000120423076923077</v>
      </c>
      <c r="G684" s="23">
        <f t="shared" si="43"/>
        <v>0.0103822322872073</v>
      </c>
    </row>
    <row r="685" spans="1:10">
      <c r="A685" s="28" t="s">
        <v>435</v>
      </c>
      <c r="B685" s="27">
        <v>62023.4</v>
      </c>
      <c r="C685" s="2">
        <f t="shared" si="42"/>
        <v>0.0179100999309067</v>
      </c>
      <c r="D685" s="2">
        <f t="shared" si="44"/>
        <v>0.0177516037482857</v>
      </c>
      <c r="E685" s="23">
        <v>0.03143</v>
      </c>
      <c r="F685" s="2">
        <f t="shared" si="41"/>
        <v>0.000120884615384615</v>
      </c>
      <c r="G685" s="23">
        <f t="shared" si="43"/>
        <v>0.0176307191329011</v>
      </c>
    </row>
    <row r="686" spans="1:10">
      <c r="A686" s="28" t="s">
        <v>436</v>
      </c>
      <c r="B686" s="27">
        <v>62387.2</v>
      </c>
      <c r="C686" s="2">
        <f t="shared" si="42"/>
        <v>0.00586552817162548</v>
      </c>
      <c r="D686" s="2">
        <f t="shared" si="44"/>
        <v>0.00584839293342494</v>
      </c>
      <c r="E686" s="23">
        <v>0.03096</v>
      </c>
      <c r="F686" s="2">
        <f t="shared" si="41"/>
        <v>0.000119076923076923</v>
      </c>
      <c r="G686" s="23">
        <f t="shared" si="43"/>
        <v>0.00572931601034801</v>
      </c>
    </row>
    <row r="687" spans="1:10">
      <c r="A687" s="28" t="s">
        <v>437</v>
      </c>
      <c r="B687" s="27">
        <v>62932.8</v>
      </c>
      <c r="C687" s="2">
        <f t="shared" si="42"/>
        <v>0.0087453836684449</v>
      </c>
      <c r="D687" s="2">
        <f t="shared" si="44"/>
        <v>0.00870736430252403</v>
      </c>
      <c r="E687" s="23">
        <v>0.03093</v>
      </c>
      <c r="F687" s="2">
        <f t="shared" si="41"/>
        <v>0.000118961538461538</v>
      </c>
      <c r="G687" s="23">
        <f t="shared" si="43"/>
        <v>0.0085884027640625</v>
      </c>
    </row>
    <row r="688" spans="1:10">
      <c r="A688" s="28" t="s">
        <v>438</v>
      </c>
      <c r="B688" s="27">
        <v>62750.9</v>
      </c>
      <c r="C688" s="2">
        <f t="shared" si="42"/>
        <v>-0.00289038466427684</v>
      </c>
      <c r="D688" s="2">
        <f t="shared" si="44"/>
        <v>-0.00289456989258921</v>
      </c>
      <c r="E688" s="23">
        <v>0.03118</v>
      </c>
      <c r="F688" s="2">
        <f t="shared" si="41"/>
        <v>0.000119923076923077</v>
      </c>
      <c r="G688" s="23">
        <f t="shared" si="43"/>
        <v>-0.00301449296951228</v>
      </c>
    </row>
    <row r="689" spans="1:10">
      <c r="A689" s="28" t="s">
        <v>439</v>
      </c>
      <c r="B689" s="27">
        <v>63387.5</v>
      </c>
      <c r="C689" s="2">
        <f t="shared" si="42"/>
        <v>0.0101448744161438</v>
      </c>
      <c r="D689" s="2">
        <f t="shared" si="44"/>
        <v>0.0100937605826167</v>
      </c>
      <c r="E689" s="23">
        <v>0.03104</v>
      </c>
      <c r="F689" s="2">
        <f t="shared" si="41"/>
        <v>0.000119384615384615</v>
      </c>
      <c r="G689" s="23">
        <f t="shared" si="43"/>
        <v>0.00997437596723206</v>
      </c>
    </row>
    <row r="690" spans="1:10">
      <c r="A690" s="28" t="s">
        <v>440</v>
      </c>
      <c r="B690" s="27">
        <v>62750.9</v>
      </c>
      <c r="C690" s="2">
        <f t="shared" si="42"/>
        <v>-0.0100429895484125</v>
      </c>
      <c r="D690" s="2">
        <f t="shared" si="44"/>
        <v>-0.0100937605826166</v>
      </c>
      <c r="E690" s="23">
        <v>0.03118</v>
      </c>
      <c r="F690" s="2">
        <f t="shared" si="41"/>
        <v>0.000119923076923077</v>
      </c>
      <c r="G690" s="23">
        <f t="shared" si="43"/>
        <v>-0.0102136836595397</v>
      </c>
    </row>
    <row r="691" spans="1:10">
      <c r="A691" s="26">
        <v>45265</v>
      </c>
      <c r="B691" s="27">
        <v>63296.6</v>
      </c>
      <c r="C691" s="2">
        <f t="shared" si="42"/>
        <v>0.00869628961496962</v>
      </c>
      <c r="D691" s="2">
        <f t="shared" si="44"/>
        <v>0.00865869468878994</v>
      </c>
      <c r="E691" s="23">
        <v>0.03118</v>
      </c>
      <c r="F691" s="2">
        <f t="shared" si="41"/>
        <v>0.000119923076923077</v>
      </c>
      <c r="G691" s="23">
        <f t="shared" si="43"/>
        <v>0.00853877161186686</v>
      </c>
    </row>
    <row r="692" spans="1:10">
      <c r="A692" s="26">
        <v>45235</v>
      </c>
      <c r="B692" s="27">
        <v>63660.4</v>
      </c>
      <c r="C692" s="2">
        <f t="shared" si="42"/>
        <v>0.00574754410189493</v>
      </c>
      <c r="D692" s="2">
        <f t="shared" si="44"/>
        <v>0.00573108998735444</v>
      </c>
      <c r="E692" s="23">
        <v>0.03131</v>
      </c>
      <c r="F692" s="2">
        <f t="shared" si="41"/>
        <v>0.000120423076923077</v>
      </c>
      <c r="G692" s="23">
        <f t="shared" si="43"/>
        <v>0.00561066691043136</v>
      </c>
      <c r="J692" s="21"/>
    </row>
    <row r="693" spans="1:10">
      <c r="A693" s="26">
        <v>45204</v>
      </c>
      <c r="B693" s="27">
        <v>64115.1</v>
      </c>
      <c r="C693" s="2">
        <f t="shared" si="42"/>
        <v>0.00714258785681518</v>
      </c>
      <c r="D693" s="2">
        <f t="shared" si="44"/>
        <v>0.00711720039261638</v>
      </c>
      <c r="E693" s="23">
        <v>0.03203</v>
      </c>
      <c r="F693" s="2">
        <f t="shared" si="41"/>
        <v>0.000123192307692308</v>
      </c>
      <c r="G693" s="23">
        <f t="shared" si="43"/>
        <v>0.00699400808492408</v>
      </c>
      <c r="J693" s="21"/>
    </row>
    <row r="694" spans="1:10">
      <c r="A694" s="26">
        <v>45174</v>
      </c>
      <c r="B694" s="27">
        <v>64297</v>
      </c>
      <c r="C694" s="2">
        <f t="shared" si="42"/>
        <v>0.0028370851796223</v>
      </c>
      <c r="D694" s="2">
        <f t="shared" si="44"/>
        <v>0.00283306824925288</v>
      </c>
      <c r="E694" s="23">
        <v>0.03165</v>
      </c>
      <c r="F694" s="2">
        <f t="shared" si="41"/>
        <v>0.000121730769230769</v>
      </c>
      <c r="G694" s="23">
        <f t="shared" si="43"/>
        <v>0.00271133748002211</v>
      </c>
      <c r="J694" s="21"/>
    </row>
    <row r="695" spans="1:10">
      <c r="A695" s="26">
        <v>45143</v>
      </c>
      <c r="B695" s="27">
        <v>64024.1</v>
      </c>
      <c r="C695" s="2">
        <f t="shared" si="42"/>
        <v>-0.00424436598908194</v>
      </c>
      <c r="D695" s="2">
        <f t="shared" si="44"/>
        <v>-0.00425339887872708</v>
      </c>
      <c r="E695" s="23">
        <v>0.03194</v>
      </c>
      <c r="F695" s="2">
        <f t="shared" si="41"/>
        <v>0.000122846153846154</v>
      </c>
      <c r="G695" s="23">
        <f t="shared" si="43"/>
        <v>-0.00437624503257323</v>
      </c>
      <c r="J695" s="21"/>
    </row>
    <row r="696" spans="1:10">
      <c r="A696" s="26">
        <v>45051</v>
      </c>
      <c r="B696" s="27">
        <v>62569</v>
      </c>
      <c r="C696" s="2">
        <f t="shared" si="42"/>
        <v>-0.022727379221262</v>
      </c>
      <c r="D696" s="2">
        <f t="shared" si="44"/>
        <v>-0.0229896271952984</v>
      </c>
      <c r="E696" s="23">
        <v>0.03266</v>
      </c>
      <c r="F696" s="2">
        <f t="shared" si="41"/>
        <v>0.000125615384615385</v>
      </c>
      <c r="G696" s="23">
        <f t="shared" si="43"/>
        <v>-0.0231152425799137</v>
      </c>
      <c r="J696" s="21"/>
    </row>
    <row r="697" spans="1:10">
      <c r="A697" s="26">
        <v>45021</v>
      </c>
      <c r="B697" s="27">
        <v>62387.2</v>
      </c>
      <c r="C697" s="2">
        <f t="shared" si="42"/>
        <v>-0.00290559222618234</v>
      </c>
      <c r="D697" s="2">
        <f t="shared" si="44"/>
        <v>-0.00290982165392316</v>
      </c>
      <c r="E697" s="23">
        <v>0.03331</v>
      </c>
      <c r="F697" s="2">
        <f t="shared" si="41"/>
        <v>0.000128115384615385</v>
      </c>
      <c r="G697" s="23">
        <f t="shared" si="43"/>
        <v>-0.00303793703853854</v>
      </c>
      <c r="J697" s="21"/>
    </row>
    <row r="698" spans="1:10">
      <c r="A698" s="28" t="s">
        <v>441</v>
      </c>
      <c r="B698" s="27">
        <v>63660.4</v>
      </c>
      <c r="C698" s="2">
        <f t="shared" si="42"/>
        <v>0.0204080324169061</v>
      </c>
      <c r="D698" s="2">
        <f t="shared" si="44"/>
        <v>0.0202025790860791</v>
      </c>
      <c r="E698" s="23">
        <v>0.03363</v>
      </c>
      <c r="F698" s="2">
        <f t="shared" si="41"/>
        <v>0.000129346153846154</v>
      </c>
      <c r="G698" s="23">
        <f t="shared" si="43"/>
        <v>0.020073232932233</v>
      </c>
      <c r="J698" s="21"/>
    </row>
    <row r="699" spans="1:10">
      <c r="A699" s="28" t="s">
        <v>442</v>
      </c>
      <c r="B699" s="27">
        <v>63205.6</v>
      </c>
      <c r="C699" s="2">
        <f t="shared" si="42"/>
        <v>-0.00714415869205979</v>
      </c>
      <c r="D699" s="2">
        <f t="shared" si="44"/>
        <v>-0.00716980039233773</v>
      </c>
      <c r="E699" s="23">
        <v>0.03336</v>
      </c>
      <c r="F699" s="2">
        <f t="shared" si="41"/>
        <v>0.000128307692307692</v>
      </c>
      <c r="G699" s="23">
        <f t="shared" si="43"/>
        <v>-0.00729810808464542</v>
      </c>
      <c r="J699" s="21"/>
    </row>
    <row r="700" spans="1:10">
      <c r="A700" s="28" t="s">
        <v>443</v>
      </c>
      <c r="B700" s="27">
        <v>64569.8</v>
      </c>
      <c r="C700" s="2">
        <f t="shared" si="42"/>
        <v>0.0215835305732404</v>
      </c>
      <c r="D700" s="2">
        <f t="shared" si="44"/>
        <v>0.0213539043975917</v>
      </c>
      <c r="E700" s="23">
        <v>0.03375</v>
      </c>
      <c r="F700" s="2">
        <f t="shared" si="41"/>
        <v>0.000129807692307692</v>
      </c>
      <c r="G700" s="23">
        <f t="shared" si="43"/>
        <v>0.021224096705284</v>
      </c>
    </row>
    <row r="701" spans="1:10">
      <c r="A701" s="28" t="s">
        <v>444</v>
      </c>
      <c r="B701" s="27">
        <v>63569.4</v>
      </c>
      <c r="C701" s="2">
        <f t="shared" si="42"/>
        <v>-0.0154933111144839</v>
      </c>
      <c r="D701" s="2">
        <f t="shared" si="44"/>
        <v>-0.0156145867304902</v>
      </c>
      <c r="E701" s="23">
        <v>0.03392</v>
      </c>
      <c r="F701" s="2">
        <f t="shared" si="41"/>
        <v>0.000130461538461538</v>
      </c>
      <c r="G701" s="23">
        <f t="shared" si="43"/>
        <v>-0.0157450482689518</v>
      </c>
    </row>
    <row r="702" spans="1:10">
      <c r="A702" s="28" t="s">
        <v>445</v>
      </c>
      <c r="B702" s="27">
        <v>64115.1</v>
      </c>
      <c r="C702" s="2">
        <f t="shared" si="42"/>
        <v>0.00858431887039986</v>
      </c>
      <c r="D702" s="2">
        <f t="shared" si="44"/>
        <v>0.00854768311785249</v>
      </c>
      <c r="E702" s="23">
        <v>0.03491</v>
      </c>
      <c r="F702" s="2">
        <f t="shared" si="41"/>
        <v>0.000134269230769231</v>
      </c>
      <c r="G702" s="23">
        <f t="shared" si="43"/>
        <v>0.00841341388708326</v>
      </c>
    </row>
    <row r="703" spans="1:10">
      <c r="A703" s="28" t="s">
        <v>446</v>
      </c>
      <c r="B703" s="27">
        <v>64478.9</v>
      </c>
      <c r="C703" s="2">
        <f t="shared" si="42"/>
        <v>0.00567417035924459</v>
      </c>
      <c r="D703" s="2">
        <f t="shared" si="44"/>
        <v>0.00565813289222576</v>
      </c>
      <c r="E703" s="23">
        <v>0.03419</v>
      </c>
      <c r="F703" s="2">
        <f t="shared" si="41"/>
        <v>0.0001315</v>
      </c>
      <c r="G703" s="23">
        <f t="shared" si="43"/>
        <v>0.00552663289222576</v>
      </c>
    </row>
    <row r="704" spans="1:10">
      <c r="A704" s="28" t="s">
        <v>447</v>
      </c>
      <c r="B704" s="27">
        <v>65388.3</v>
      </c>
      <c r="C704" s="2">
        <f t="shared" si="42"/>
        <v>0.0141038386200757</v>
      </c>
      <c r="D704" s="2">
        <f t="shared" si="44"/>
        <v>0.0140053048767275</v>
      </c>
      <c r="E704" s="23">
        <v>0.03449</v>
      </c>
      <c r="F704" s="2">
        <f t="shared" si="41"/>
        <v>0.000132653846153846</v>
      </c>
      <c r="G704" s="23">
        <f t="shared" si="43"/>
        <v>0.0138726510305736</v>
      </c>
    </row>
    <row r="705" spans="1:10">
      <c r="A705" s="28" t="s">
        <v>448</v>
      </c>
      <c r="B705" s="27">
        <v>65479.2</v>
      </c>
      <c r="C705" s="2">
        <f t="shared" si="42"/>
        <v>0.00139015695468446</v>
      </c>
      <c r="D705" s="2">
        <f t="shared" si="44"/>
        <v>0.00138919158108202</v>
      </c>
      <c r="E705" s="23">
        <v>0.03443</v>
      </c>
      <c r="F705" s="2">
        <f t="shared" si="41"/>
        <v>0.000132423076923077</v>
      </c>
      <c r="G705" s="23">
        <f t="shared" si="43"/>
        <v>0.00125676850415894</v>
      </c>
    </row>
    <row r="706" spans="1:10">
      <c r="A706" s="28" t="s">
        <v>449</v>
      </c>
      <c r="B706" s="27">
        <v>66388.7</v>
      </c>
      <c r="C706" s="2">
        <f t="shared" si="42"/>
        <v>0.0138899070239099</v>
      </c>
      <c r="D706" s="2">
        <f t="shared" si="44"/>
        <v>0.0137943263197974</v>
      </c>
      <c r="E706" s="23">
        <v>0.03477</v>
      </c>
      <c r="F706" s="2">
        <f t="shared" si="41"/>
        <v>0.000133730769230769</v>
      </c>
      <c r="G706" s="23">
        <f t="shared" si="43"/>
        <v>0.0136605955505667</v>
      </c>
    </row>
    <row r="707" spans="1:10">
      <c r="A707" s="28" t="s">
        <v>450</v>
      </c>
      <c r="B707" s="27">
        <v>65206.4</v>
      </c>
      <c r="C707" s="2">
        <f t="shared" si="42"/>
        <v>-0.0178087535981273</v>
      </c>
      <c r="D707" s="2">
        <f t="shared" si="44"/>
        <v>-0.0179692376526338</v>
      </c>
      <c r="E707" s="23">
        <v>0.03412</v>
      </c>
      <c r="F707" s="2">
        <f t="shared" ref="F707:F753" si="45">E707/260</f>
        <v>0.000131230769230769</v>
      </c>
      <c r="G707" s="23">
        <f t="shared" si="43"/>
        <v>-0.0181004684218646</v>
      </c>
    </row>
    <row r="708" spans="1:10">
      <c r="A708" s="28" t="s">
        <v>451</v>
      </c>
      <c r="B708" s="27">
        <v>66206.8</v>
      </c>
      <c r="C708" s="2">
        <f t="shared" ref="C708:C753" si="46">(B708-B707)/B707</f>
        <v>0.0153420523138833</v>
      </c>
      <c r="D708" s="2">
        <f t="shared" si="44"/>
        <v>0.0152255530764763</v>
      </c>
      <c r="E708" s="23">
        <v>0.0347</v>
      </c>
      <c r="F708" s="2">
        <f t="shared" si="45"/>
        <v>0.000133461538461538</v>
      </c>
      <c r="G708" s="23">
        <f t="shared" ref="G708:G753" si="47">D708-F708</f>
        <v>0.0150920915380147</v>
      </c>
    </row>
    <row r="709" spans="1:10">
      <c r="A709" s="28" t="s">
        <v>452</v>
      </c>
      <c r="B709" s="27">
        <v>66843.4</v>
      </c>
      <c r="C709" s="2">
        <f t="shared" si="46"/>
        <v>0.00961532652235105</v>
      </c>
      <c r="D709" s="2">
        <f t="shared" si="44"/>
        <v>0.00956939347638251</v>
      </c>
      <c r="E709" s="23">
        <v>0.03489</v>
      </c>
      <c r="F709" s="2">
        <f t="shared" si="45"/>
        <v>0.000134192307692308</v>
      </c>
      <c r="G709" s="23">
        <f t="shared" si="47"/>
        <v>0.0094352011686902</v>
      </c>
    </row>
    <row r="710" spans="1:10">
      <c r="A710" s="26">
        <v>45264</v>
      </c>
      <c r="B710" s="27">
        <v>67570.9</v>
      </c>
      <c r="C710" s="2">
        <f t="shared" si="46"/>
        <v>0.0108836474506084</v>
      </c>
      <c r="D710" s="2">
        <f t="shared" si="44"/>
        <v>0.0108248468185374</v>
      </c>
      <c r="E710" s="23">
        <v>0.03429</v>
      </c>
      <c r="F710" s="2">
        <f t="shared" si="45"/>
        <v>0.000131884615384615</v>
      </c>
      <c r="G710" s="23">
        <f t="shared" si="47"/>
        <v>0.0106929622031527</v>
      </c>
    </row>
    <row r="711" spans="1:10">
      <c r="A711" s="26">
        <v>45234</v>
      </c>
      <c r="B711" s="27">
        <v>67661.9</v>
      </c>
      <c r="C711" s="2">
        <f t="shared" si="46"/>
        <v>0.00134673357909988</v>
      </c>
      <c r="D711" s="2">
        <f t="shared" si="44"/>
        <v>0.0013458275467983</v>
      </c>
      <c r="E711" s="23">
        <v>0.03445</v>
      </c>
      <c r="F711" s="2">
        <f t="shared" si="45"/>
        <v>0.0001325</v>
      </c>
      <c r="G711" s="23">
        <f t="shared" si="47"/>
        <v>0.0012133275467983</v>
      </c>
    </row>
    <row r="712" spans="1:10">
      <c r="A712" s="26">
        <v>45203</v>
      </c>
      <c r="B712" s="27">
        <v>67661.9</v>
      </c>
      <c r="C712" s="2">
        <f t="shared" si="46"/>
        <v>0</v>
      </c>
      <c r="D712" s="2">
        <f t="shared" si="44"/>
        <v>0</v>
      </c>
      <c r="E712" s="23">
        <v>0.03452</v>
      </c>
      <c r="F712" s="2">
        <f t="shared" si="45"/>
        <v>0.000132769230769231</v>
      </c>
      <c r="G712" s="23">
        <f t="shared" si="47"/>
        <v>-0.000132769230769231</v>
      </c>
    </row>
    <row r="713" spans="1:10">
      <c r="A713" s="26">
        <v>45111</v>
      </c>
      <c r="B713" s="27">
        <v>67934.7</v>
      </c>
      <c r="C713" s="2">
        <f t="shared" si="46"/>
        <v>0.00403181110787612</v>
      </c>
      <c r="D713" s="2">
        <f t="shared" si="44"/>
        <v>0.00402370513799291</v>
      </c>
      <c r="E713" s="23">
        <v>0.03547</v>
      </c>
      <c r="F713" s="2">
        <f t="shared" si="45"/>
        <v>0.000136423076923077</v>
      </c>
      <c r="G713" s="23">
        <f t="shared" si="47"/>
        <v>0.00388728206106983</v>
      </c>
      <c r="J713" s="21"/>
    </row>
    <row r="714" spans="1:10">
      <c r="A714" s="26">
        <v>45081</v>
      </c>
      <c r="B714" s="27">
        <v>67570.9</v>
      </c>
      <c r="C714" s="2">
        <f t="shared" si="46"/>
        <v>-0.00535514251185334</v>
      </c>
      <c r="D714" s="2">
        <f t="shared" si="44"/>
        <v>-0.00536953268479111</v>
      </c>
      <c r="E714" s="23">
        <v>0.036</v>
      </c>
      <c r="F714" s="2">
        <f t="shared" si="45"/>
        <v>0.000138461538461538</v>
      </c>
      <c r="G714" s="23">
        <f t="shared" si="47"/>
        <v>-0.00550799422325264</v>
      </c>
      <c r="J714" s="21"/>
    </row>
    <row r="715" spans="1:10">
      <c r="A715" s="26">
        <v>45050</v>
      </c>
      <c r="B715" s="27">
        <v>67752.8</v>
      </c>
      <c r="C715" s="2">
        <f t="shared" si="46"/>
        <v>0.00269198723118989</v>
      </c>
      <c r="D715" s="2">
        <f t="shared" si="44"/>
        <v>0.00268837032322276</v>
      </c>
      <c r="E715" s="23">
        <v>0.03574</v>
      </c>
      <c r="F715" s="2">
        <f t="shared" si="45"/>
        <v>0.000137461538461538</v>
      </c>
      <c r="G715" s="23">
        <f t="shared" si="47"/>
        <v>0.00255090878476122</v>
      </c>
      <c r="J715" s="21"/>
    </row>
    <row r="716" spans="1:10">
      <c r="A716" s="26">
        <v>45020</v>
      </c>
      <c r="B716" s="27">
        <v>67480</v>
      </c>
      <c r="C716" s="2">
        <f t="shared" si="46"/>
        <v>-0.00402640186088254</v>
      </c>
      <c r="D716" s="2">
        <f t="shared" si="44"/>
        <v>-0.00403452964133156</v>
      </c>
      <c r="E716" s="23">
        <v>0.03564</v>
      </c>
      <c r="F716" s="2">
        <f t="shared" si="45"/>
        <v>0.000137076923076923</v>
      </c>
      <c r="G716" s="23">
        <f t="shared" si="47"/>
        <v>-0.00417160656440849</v>
      </c>
      <c r="J716" s="21"/>
    </row>
    <row r="717" spans="1:10">
      <c r="A717" s="26">
        <v>44989</v>
      </c>
      <c r="B717" s="27">
        <v>67661.9</v>
      </c>
      <c r="C717" s="2">
        <f t="shared" si="46"/>
        <v>0.0026956135151155</v>
      </c>
      <c r="D717" s="2">
        <f t="shared" si="44"/>
        <v>0.00269198686490701</v>
      </c>
      <c r="E717" s="23">
        <v>0.03592</v>
      </c>
      <c r="F717" s="2">
        <f t="shared" si="45"/>
        <v>0.000138153846153846</v>
      </c>
      <c r="G717" s="23">
        <f t="shared" si="47"/>
        <v>0.00255383301875316</v>
      </c>
      <c r="J717" s="21"/>
    </row>
    <row r="718" spans="1:10">
      <c r="A718" s="28" t="s">
        <v>453</v>
      </c>
      <c r="B718" s="27">
        <v>67661.9</v>
      </c>
      <c r="C718" s="2">
        <f t="shared" si="46"/>
        <v>0</v>
      </c>
      <c r="D718" s="2">
        <f t="shared" si="44"/>
        <v>0</v>
      </c>
      <c r="E718" s="23">
        <v>0.03469</v>
      </c>
      <c r="F718" s="2">
        <f t="shared" si="45"/>
        <v>0.000133423076923077</v>
      </c>
      <c r="G718" s="23">
        <f t="shared" si="47"/>
        <v>-0.000133423076923077</v>
      </c>
      <c r="J718" s="21"/>
    </row>
    <row r="719" spans="1:10">
      <c r="A719" s="28" t="s">
        <v>454</v>
      </c>
      <c r="B719" s="27">
        <v>68207.5</v>
      </c>
      <c r="C719" s="2">
        <f t="shared" si="46"/>
        <v>0.00806362221575223</v>
      </c>
      <c r="D719" s="2">
        <f t="shared" si="44"/>
        <v>0.00803128493489725</v>
      </c>
      <c r="E719" s="23">
        <v>0.03714</v>
      </c>
      <c r="F719" s="2">
        <f t="shared" si="45"/>
        <v>0.000142846153846154</v>
      </c>
      <c r="G719" s="23">
        <f t="shared" si="47"/>
        <v>0.0078884387810511</v>
      </c>
      <c r="J719" s="21"/>
    </row>
    <row r="720" spans="1:10">
      <c r="A720" s="28" t="s">
        <v>455</v>
      </c>
      <c r="B720" s="27">
        <v>68116.6</v>
      </c>
      <c r="C720" s="2">
        <f t="shared" si="46"/>
        <v>-0.00133269801708015</v>
      </c>
      <c r="D720" s="2">
        <f t="shared" si="44"/>
        <v>-0.0013335868488665</v>
      </c>
      <c r="E720" s="23">
        <v>0.03746</v>
      </c>
      <c r="F720" s="2">
        <f t="shared" si="45"/>
        <v>0.000144076923076923</v>
      </c>
      <c r="G720" s="23">
        <f t="shared" si="47"/>
        <v>-0.00147766377194343</v>
      </c>
      <c r="J720" s="21"/>
    </row>
    <row r="721" spans="1:10">
      <c r="A721" s="28" t="s">
        <v>456</v>
      </c>
      <c r="B721" s="27">
        <v>67661.9</v>
      </c>
      <c r="C721" s="2">
        <f t="shared" si="46"/>
        <v>-0.00667531849798745</v>
      </c>
      <c r="D721" s="2">
        <f t="shared" si="44"/>
        <v>-0.00669769808603075</v>
      </c>
      <c r="E721" s="23">
        <v>0.03758</v>
      </c>
      <c r="F721" s="2">
        <f t="shared" si="45"/>
        <v>0.000144538461538462</v>
      </c>
      <c r="G721" s="23">
        <f t="shared" si="47"/>
        <v>-0.00684223654756921</v>
      </c>
      <c r="J721" s="21"/>
    </row>
    <row r="722" spans="1:10">
      <c r="A722" s="28" t="s">
        <v>457</v>
      </c>
      <c r="B722" s="27">
        <v>67843.8</v>
      </c>
      <c r="C722" s="2">
        <f t="shared" si="46"/>
        <v>0.00268836671745855</v>
      </c>
      <c r="D722" s="2">
        <f t="shared" si="44"/>
        <v>0.00268475952318262</v>
      </c>
      <c r="E722" s="23">
        <v>0.03781</v>
      </c>
      <c r="F722" s="2">
        <f t="shared" si="45"/>
        <v>0.000145423076923077</v>
      </c>
      <c r="G722" s="23">
        <f t="shared" si="47"/>
        <v>0.00253933644625954</v>
      </c>
      <c r="J722" s="21"/>
    </row>
    <row r="723" spans="1:10">
      <c r="A723" s="28" t="s">
        <v>458</v>
      </c>
      <c r="B723" s="27">
        <v>68207.5</v>
      </c>
      <c r="C723" s="2">
        <f t="shared" si="46"/>
        <v>0.00536084358482274</v>
      </c>
      <c r="D723" s="2">
        <f t="shared" si="44"/>
        <v>0.00534652541171473</v>
      </c>
      <c r="E723" s="23">
        <v>0.03705</v>
      </c>
      <c r="F723" s="2">
        <f t="shared" si="45"/>
        <v>0.0001425</v>
      </c>
      <c r="G723" s="23">
        <f t="shared" si="47"/>
        <v>0.00520402541171472</v>
      </c>
    </row>
    <row r="724" spans="1:10">
      <c r="A724" s="28" t="s">
        <v>459</v>
      </c>
      <c r="B724" s="27">
        <v>68480.4</v>
      </c>
      <c r="C724" s="2">
        <f t="shared" si="46"/>
        <v>0.00400102628010108</v>
      </c>
      <c r="D724" s="2">
        <f t="shared" si="44"/>
        <v>0.0039930434603508</v>
      </c>
      <c r="E724" s="23">
        <v>0.03873</v>
      </c>
      <c r="F724" s="2">
        <f t="shared" si="45"/>
        <v>0.000148961538461538</v>
      </c>
      <c r="G724" s="23">
        <f t="shared" si="47"/>
        <v>0.00384408192188926</v>
      </c>
    </row>
    <row r="725" spans="1:10">
      <c r="A725" s="28" t="s">
        <v>460</v>
      </c>
      <c r="B725" s="27">
        <v>67661.9</v>
      </c>
      <c r="C725" s="2">
        <f t="shared" si="46"/>
        <v>-0.0119523250448303</v>
      </c>
      <c r="D725" s="2">
        <f t="shared" si="44"/>
        <v>-0.012024328395248</v>
      </c>
      <c r="E725" s="23">
        <v>0.03914</v>
      </c>
      <c r="F725" s="2">
        <f t="shared" si="45"/>
        <v>0.000150538461538462</v>
      </c>
      <c r="G725" s="23">
        <f t="shared" si="47"/>
        <v>-0.0121748668567865</v>
      </c>
    </row>
    <row r="726" spans="1:10">
      <c r="A726" s="28" t="s">
        <v>461</v>
      </c>
      <c r="B726" s="27">
        <v>67661.9</v>
      </c>
      <c r="C726" s="2">
        <f t="shared" si="46"/>
        <v>0</v>
      </c>
      <c r="D726" s="2">
        <f t="shared" si="44"/>
        <v>0</v>
      </c>
      <c r="E726" s="23">
        <v>0.03988</v>
      </c>
      <c r="F726" s="2">
        <f t="shared" si="45"/>
        <v>0.000153384615384615</v>
      </c>
      <c r="G726" s="23">
        <f t="shared" si="47"/>
        <v>-0.000153384615384615</v>
      </c>
    </row>
    <row r="727" spans="1:10">
      <c r="A727" s="28" t="s">
        <v>462</v>
      </c>
      <c r="B727" s="27">
        <v>67570.9</v>
      </c>
      <c r="C727" s="2">
        <f t="shared" si="46"/>
        <v>-0.00134492232704077</v>
      </c>
      <c r="D727" s="2">
        <f t="shared" si="44"/>
        <v>-0.00134582754679818</v>
      </c>
      <c r="E727" s="23">
        <v>0.0403</v>
      </c>
      <c r="F727" s="2">
        <f t="shared" si="45"/>
        <v>0.000155</v>
      </c>
      <c r="G727" s="23">
        <f t="shared" si="47"/>
        <v>-0.00150082754679818</v>
      </c>
    </row>
    <row r="728" spans="1:10">
      <c r="A728" s="28" t="s">
        <v>463</v>
      </c>
      <c r="B728" s="27">
        <v>67752.8</v>
      </c>
      <c r="C728" s="2">
        <f t="shared" si="46"/>
        <v>0.00269198723118989</v>
      </c>
      <c r="D728" s="2">
        <f t="shared" si="44"/>
        <v>0.00268837032322276</v>
      </c>
      <c r="E728" s="23">
        <v>0.04098</v>
      </c>
      <c r="F728" s="2">
        <f t="shared" si="45"/>
        <v>0.000157615384615385</v>
      </c>
      <c r="G728" s="23">
        <f t="shared" si="47"/>
        <v>0.00253075493860738</v>
      </c>
    </row>
    <row r="729" spans="1:10">
      <c r="A729" s="28" t="s">
        <v>464</v>
      </c>
      <c r="B729" s="27">
        <v>69480.7</v>
      </c>
      <c r="C729" s="2">
        <f t="shared" si="46"/>
        <v>0.025503005041858</v>
      </c>
      <c r="D729" s="2">
        <f t="shared" si="44"/>
        <v>0.0251832288447351</v>
      </c>
      <c r="E729" s="23">
        <v>0.04103</v>
      </c>
      <c r="F729" s="2">
        <f t="shared" si="45"/>
        <v>0.000157807692307692</v>
      </c>
      <c r="G729" s="23">
        <f t="shared" si="47"/>
        <v>0.0250254211524274</v>
      </c>
    </row>
    <row r="730" spans="1:10">
      <c r="A730" s="28" t="s">
        <v>465</v>
      </c>
      <c r="B730" s="27">
        <v>70117.3</v>
      </c>
      <c r="C730" s="2">
        <f t="shared" si="46"/>
        <v>0.00916225656909049</v>
      </c>
      <c r="D730" s="2">
        <f t="shared" si="44"/>
        <v>0.00912053772856558</v>
      </c>
      <c r="E730" s="23">
        <v>0.04273</v>
      </c>
      <c r="F730" s="2">
        <f t="shared" si="45"/>
        <v>0.000164346153846154</v>
      </c>
      <c r="G730" s="23">
        <f t="shared" si="47"/>
        <v>0.00895619157471943</v>
      </c>
    </row>
    <row r="731" spans="1:10">
      <c r="A731" s="28" t="s">
        <v>466</v>
      </c>
      <c r="B731" s="27">
        <v>69662.6</v>
      </c>
      <c r="C731" s="2">
        <f t="shared" si="46"/>
        <v>-0.00648484753406074</v>
      </c>
      <c r="D731" s="2">
        <f t="shared" si="44"/>
        <v>-0.006505965505222</v>
      </c>
      <c r="E731" s="23">
        <v>0.04304</v>
      </c>
      <c r="F731" s="2">
        <f t="shared" si="45"/>
        <v>0.000165538461538462</v>
      </c>
      <c r="G731" s="23">
        <f t="shared" si="47"/>
        <v>-0.00667150396676046</v>
      </c>
    </row>
    <row r="732" spans="1:10">
      <c r="A732" s="28" t="s">
        <v>467</v>
      </c>
      <c r="B732" s="27">
        <v>69935.5</v>
      </c>
      <c r="C732" s="2">
        <f t="shared" si="46"/>
        <v>0.00391745355470502</v>
      </c>
      <c r="D732" s="2">
        <f t="shared" si="44"/>
        <v>0.00390980031449242</v>
      </c>
      <c r="E732" s="23">
        <v>0.0436</v>
      </c>
      <c r="F732" s="2">
        <f t="shared" si="45"/>
        <v>0.000167692307692308</v>
      </c>
      <c r="G732" s="23">
        <f t="shared" si="47"/>
        <v>0.00374210800680011</v>
      </c>
    </row>
    <row r="733" spans="1:10">
      <c r="A733" s="26">
        <v>45202</v>
      </c>
      <c r="B733" s="27">
        <v>69935.5</v>
      </c>
      <c r="C733" s="2">
        <f t="shared" si="46"/>
        <v>0</v>
      </c>
      <c r="D733" s="2">
        <f t="shared" si="44"/>
        <v>0</v>
      </c>
      <c r="E733" s="23">
        <v>0.04465</v>
      </c>
      <c r="F733" s="2">
        <f t="shared" si="45"/>
        <v>0.000171730769230769</v>
      </c>
      <c r="G733" s="23">
        <f t="shared" si="47"/>
        <v>-0.000171730769230769</v>
      </c>
    </row>
    <row r="734" spans="1:10">
      <c r="A734" s="26">
        <v>45172</v>
      </c>
      <c r="B734" s="27">
        <v>69571.7</v>
      </c>
      <c r="C734" s="2">
        <f t="shared" si="46"/>
        <v>-0.00520193606966423</v>
      </c>
      <c r="D734" s="2">
        <f t="shared" si="44"/>
        <v>-0.00521551324463275</v>
      </c>
      <c r="E734" s="23">
        <v>0.04519</v>
      </c>
      <c r="F734" s="2">
        <f t="shared" si="45"/>
        <v>0.000173807692307692</v>
      </c>
      <c r="G734" s="23">
        <f t="shared" si="47"/>
        <v>-0.00538932093694044</v>
      </c>
    </row>
    <row r="735" spans="1:10">
      <c r="A735" s="26">
        <v>45141</v>
      </c>
      <c r="B735" s="27">
        <v>69571.7</v>
      </c>
      <c r="C735" s="2">
        <f t="shared" si="46"/>
        <v>0</v>
      </c>
      <c r="D735" s="2">
        <f t="shared" si="44"/>
        <v>0</v>
      </c>
      <c r="E735" s="23">
        <v>0.04578</v>
      </c>
      <c r="F735" s="2">
        <f t="shared" si="45"/>
        <v>0.000176076923076923</v>
      </c>
      <c r="G735" s="23">
        <f t="shared" si="47"/>
        <v>-0.000176076923076923</v>
      </c>
      <c r="J735" s="21"/>
    </row>
    <row r="736" spans="1:10">
      <c r="A736" s="26">
        <v>45110</v>
      </c>
      <c r="B736" s="27">
        <v>68935.1</v>
      </c>
      <c r="C736" s="2">
        <f t="shared" si="46"/>
        <v>-0.00915027230899908</v>
      </c>
      <c r="D736" s="2">
        <f t="shared" si="44"/>
        <v>-0.00919239319258829</v>
      </c>
      <c r="E736" s="23">
        <v>0.04551</v>
      </c>
      <c r="F736" s="2">
        <f t="shared" si="45"/>
        <v>0.000175038461538462</v>
      </c>
      <c r="G736" s="23">
        <f t="shared" si="47"/>
        <v>-0.00936743165412675</v>
      </c>
      <c r="J736" s="21"/>
    </row>
    <row r="737" spans="1:10">
      <c r="A737" s="26">
        <v>45080</v>
      </c>
      <c r="B737" s="27">
        <v>68207.5</v>
      </c>
      <c r="C737" s="2">
        <f t="shared" si="46"/>
        <v>-0.0105548552188944</v>
      </c>
      <c r="D737" s="2">
        <f t="shared" ref="D737:D753" si="48">LN(B737/B736)</f>
        <v>-0.0106109527868775</v>
      </c>
      <c r="E737" s="23">
        <v>0.04585</v>
      </c>
      <c r="F737" s="2">
        <f t="shared" si="45"/>
        <v>0.000176346153846154</v>
      </c>
      <c r="G737" s="23">
        <f t="shared" si="47"/>
        <v>-0.0107872989407236</v>
      </c>
      <c r="J737" s="21"/>
    </row>
    <row r="738" spans="1:10">
      <c r="A738" s="26">
        <v>44988</v>
      </c>
      <c r="B738" s="27">
        <v>69117</v>
      </c>
      <c r="C738" s="2">
        <f t="shared" si="46"/>
        <v>0.0133343107429535</v>
      </c>
      <c r="D738" s="2">
        <f t="shared" si="48"/>
        <v>0.0132461912985228</v>
      </c>
      <c r="E738" s="23">
        <v>0.04595</v>
      </c>
      <c r="F738" s="2">
        <f t="shared" si="45"/>
        <v>0.000176730769230769</v>
      </c>
      <c r="G738" s="23">
        <f t="shared" si="47"/>
        <v>0.013069460529292</v>
      </c>
      <c r="J738" s="21"/>
    </row>
    <row r="739" spans="1:10">
      <c r="A739" s="26">
        <v>44960</v>
      </c>
      <c r="B739" s="27">
        <v>69571.7</v>
      </c>
      <c r="C739" s="2">
        <f t="shared" si="46"/>
        <v>0.00657869988570102</v>
      </c>
      <c r="D739" s="2">
        <f t="shared" si="48"/>
        <v>0.00655715468094284</v>
      </c>
      <c r="E739" s="23">
        <v>0.0459</v>
      </c>
      <c r="F739" s="2">
        <f t="shared" si="45"/>
        <v>0.000176538461538462</v>
      </c>
      <c r="G739" s="23">
        <f t="shared" si="47"/>
        <v>0.00638061621940438</v>
      </c>
      <c r="J739" s="21"/>
    </row>
    <row r="740" spans="1:10">
      <c r="A740" s="26">
        <v>44929</v>
      </c>
      <c r="B740" s="27">
        <v>69935.5</v>
      </c>
      <c r="C740" s="2">
        <f t="shared" si="46"/>
        <v>0.00522913770972972</v>
      </c>
      <c r="D740" s="2">
        <f t="shared" si="48"/>
        <v>0.00521551324463279</v>
      </c>
      <c r="E740" s="23">
        <v>0.04537</v>
      </c>
      <c r="F740" s="2">
        <f t="shared" si="45"/>
        <v>0.0001745</v>
      </c>
      <c r="G740" s="23">
        <f t="shared" si="47"/>
        <v>0.00504101324463279</v>
      </c>
      <c r="J740" s="21"/>
    </row>
    <row r="741" spans="1:10">
      <c r="A741" s="28" t="s">
        <v>468</v>
      </c>
      <c r="B741" s="27">
        <v>68662.2</v>
      </c>
      <c r="C741" s="2">
        <f t="shared" si="46"/>
        <v>-0.0182067762438247</v>
      </c>
      <c r="D741" s="2">
        <f t="shared" si="48"/>
        <v>-0.0183745592396365</v>
      </c>
      <c r="E741" s="23">
        <v>0.04532</v>
      </c>
      <c r="F741" s="2">
        <f t="shared" si="45"/>
        <v>0.000174307692307692</v>
      </c>
      <c r="G741" s="23">
        <f t="shared" si="47"/>
        <v>-0.0185488669319442</v>
      </c>
      <c r="J741" s="21"/>
    </row>
    <row r="742" spans="1:10">
      <c r="A742" s="28" t="s">
        <v>469</v>
      </c>
      <c r="B742" s="27">
        <v>68389.4</v>
      </c>
      <c r="C742" s="2">
        <f t="shared" si="46"/>
        <v>-0.00397307397665678</v>
      </c>
      <c r="D742" s="2">
        <f t="shared" si="48"/>
        <v>-0.00398098760297201</v>
      </c>
      <c r="E742" s="23">
        <v>0.04545</v>
      </c>
      <c r="F742" s="2">
        <f t="shared" si="45"/>
        <v>0.000174807692307692</v>
      </c>
      <c r="G742" s="23">
        <f t="shared" si="47"/>
        <v>-0.0041557952952797</v>
      </c>
      <c r="J742" s="21"/>
    </row>
    <row r="743" spans="1:10">
      <c r="A743" s="28" t="s">
        <v>470</v>
      </c>
      <c r="B743" s="27">
        <v>67934.7</v>
      </c>
      <c r="C743" s="2">
        <f t="shared" si="46"/>
        <v>-0.00664869117143881</v>
      </c>
      <c r="D743" s="2">
        <f t="shared" si="48"/>
        <v>-0.00667089217839432</v>
      </c>
      <c r="E743" s="23">
        <v>0.04577</v>
      </c>
      <c r="F743" s="2">
        <f t="shared" si="45"/>
        <v>0.000176038461538462</v>
      </c>
      <c r="G743" s="23">
        <f t="shared" si="47"/>
        <v>-0.00684693063993278</v>
      </c>
    </row>
    <row r="744" spans="1:10">
      <c r="A744" s="28" t="s">
        <v>471</v>
      </c>
      <c r="B744" s="27">
        <v>68844.1</v>
      </c>
      <c r="C744" s="2">
        <f t="shared" si="46"/>
        <v>0.0133863842778434</v>
      </c>
      <c r="D744" s="2">
        <f t="shared" si="48"/>
        <v>0.0132975782854217</v>
      </c>
      <c r="E744" s="23">
        <v>0.04556</v>
      </c>
      <c r="F744" s="2">
        <f t="shared" si="45"/>
        <v>0.000175230769230769</v>
      </c>
      <c r="G744" s="23">
        <f t="shared" si="47"/>
        <v>0.0131223475161909</v>
      </c>
    </row>
    <row r="745" spans="1:10">
      <c r="A745" s="28" t="s">
        <v>472</v>
      </c>
      <c r="B745" s="27">
        <v>68662.2</v>
      </c>
      <c r="C745" s="2">
        <f t="shared" si="46"/>
        <v>-0.0026422017282528</v>
      </c>
      <c r="D745" s="2">
        <f t="shared" si="48"/>
        <v>-0.00264569850405536</v>
      </c>
      <c r="E745" s="23">
        <v>0.04529</v>
      </c>
      <c r="F745" s="2">
        <f t="shared" si="45"/>
        <v>0.000174192307692308</v>
      </c>
      <c r="G745" s="23">
        <f t="shared" si="47"/>
        <v>-0.00281989081174767</v>
      </c>
    </row>
    <row r="746" spans="1:10">
      <c r="A746" s="28" t="s">
        <v>473</v>
      </c>
      <c r="B746" s="27">
        <v>70208.3</v>
      </c>
      <c r="C746" s="2">
        <f t="shared" si="46"/>
        <v>0.0225174841470271</v>
      </c>
      <c r="D746" s="2">
        <f t="shared" si="48"/>
        <v>0.0222677081989219</v>
      </c>
      <c r="E746" s="23">
        <v>0.04446</v>
      </c>
      <c r="F746" s="2">
        <f t="shared" si="45"/>
        <v>0.000171</v>
      </c>
      <c r="G746" s="23">
        <f t="shared" si="47"/>
        <v>0.0220967081989219</v>
      </c>
    </row>
    <row r="747" spans="1:10">
      <c r="A747" s="28" t="s">
        <v>474</v>
      </c>
      <c r="B747" s="27">
        <v>70481.1</v>
      </c>
      <c r="C747" s="2">
        <f t="shared" si="46"/>
        <v>0.00388558047980086</v>
      </c>
      <c r="D747" s="2">
        <f t="shared" si="48"/>
        <v>0.00387805110964846</v>
      </c>
      <c r="E747" s="23">
        <v>0.04375</v>
      </c>
      <c r="F747" s="2">
        <f t="shared" si="45"/>
        <v>0.000168269230769231</v>
      </c>
      <c r="G747" s="23">
        <f t="shared" si="47"/>
        <v>0.00370978187887923</v>
      </c>
    </row>
    <row r="748" spans="1:10">
      <c r="A748" s="28" t="s">
        <v>475</v>
      </c>
      <c r="B748" s="27">
        <v>69117</v>
      </c>
      <c r="C748" s="2">
        <f t="shared" si="46"/>
        <v>-0.0193541247227981</v>
      </c>
      <c r="D748" s="2">
        <f t="shared" si="48"/>
        <v>-0.0195438679945096</v>
      </c>
      <c r="E748" s="23">
        <v>0.04347</v>
      </c>
      <c r="F748" s="2">
        <f t="shared" si="45"/>
        <v>0.000167192307692308</v>
      </c>
      <c r="G748" s="23">
        <f t="shared" si="47"/>
        <v>-0.0197110603022019</v>
      </c>
    </row>
    <row r="749" spans="1:10">
      <c r="A749" s="28" t="s">
        <v>476</v>
      </c>
      <c r="B749" s="27">
        <v>69571.7</v>
      </c>
      <c r="C749" s="2">
        <f t="shared" si="46"/>
        <v>0.00657869988570102</v>
      </c>
      <c r="D749" s="2">
        <f t="shared" si="48"/>
        <v>0.00655715468094284</v>
      </c>
      <c r="E749" s="23">
        <v>0.04311</v>
      </c>
      <c r="F749" s="2">
        <f t="shared" si="45"/>
        <v>0.000165807692307692</v>
      </c>
      <c r="G749" s="23">
        <f t="shared" si="47"/>
        <v>0.00639134698863515</v>
      </c>
    </row>
    <row r="750" spans="1:10">
      <c r="A750" s="28" t="s">
        <v>477</v>
      </c>
      <c r="B750" s="27">
        <v>69117</v>
      </c>
      <c r="C750" s="2">
        <f t="shared" si="46"/>
        <v>-0.00653570345413433</v>
      </c>
      <c r="D750" s="2">
        <f t="shared" si="48"/>
        <v>-0.00655715468094295</v>
      </c>
      <c r="E750" s="23">
        <v>0.04251</v>
      </c>
      <c r="F750" s="2">
        <f t="shared" si="45"/>
        <v>0.0001635</v>
      </c>
      <c r="G750" s="23">
        <f t="shared" si="47"/>
        <v>-0.00672065468094295</v>
      </c>
    </row>
    <row r="751" spans="1:10">
      <c r="A751" s="28" t="s">
        <v>478</v>
      </c>
      <c r="B751" s="27">
        <v>67934.7</v>
      </c>
      <c r="C751" s="2">
        <f t="shared" si="46"/>
        <v>-0.0171057771604671</v>
      </c>
      <c r="D751" s="2">
        <f t="shared" si="48"/>
        <v>-0.0172537710954271</v>
      </c>
      <c r="E751" s="23">
        <v>0.04205</v>
      </c>
      <c r="F751" s="2">
        <f t="shared" si="45"/>
        <v>0.000161730769230769</v>
      </c>
      <c r="G751" s="23">
        <f t="shared" si="47"/>
        <v>-0.0174155018646579</v>
      </c>
    </row>
    <row r="752" spans="1:10">
      <c r="A752" s="28" t="s">
        <v>479</v>
      </c>
      <c r="B752" s="27">
        <v>68480.4</v>
      </c>
      <c r="C752" s="2">
        <f t="shared" si="46"/>
        <v>0.0080327137677799</v>
      </c>
      <c r="D752" s="2">
        <f t="shared" si="48"/>
        <v>0.00800062325725503</v>
      </c>
      <c r="E752" s="23">
        <v>0.04251</v>
      </c>
      <c r="F752" s="2">
        <f t="shared" si="45"/>
        <v>0.0001635</v>
      </c>
      <c r="G752" s="23">
        <f t="shared" si="47"/>
        <v>0.00783712325725503</v>
      </c>
    </row>
    <row r="753" spans="1:10">
      <c r="A753" s="26">
        <v>45201</v>
      </c>
      <c r="B753" s="27">
        <v>69026</v>
      </c>
      <c r="C753" s="2">
        <f t="shared" si="46"/>
        <v>0.00796724318199084</v>
      </c>
      <c r="D753" s="2">
        <f t="shared" si="48"/>
        <v>0.00793567227787995</v>
      </c>
      <c r="E753" s="23">
        <v>0.04254</v>
      </c>
      <c r="F753" s="2">
        <f t="shared" si="45"/>
        <v>0.000163615384615385</v>
      </c>
      <c r="G753" s="23">
        <f t="shared" si="47"/>
        <v>0.00777205689326457</v>
      </c>
    </row>
    <row r="754" spans="1:10">
      <c r="B754" t="s">
        <v>8</v>
      </c>
      <c r="C754" t="s">
        <v>12</v>
      </c>
      <c r="D754" t="s">
        <v>13</v>
      </c>
      <c r="E754" t="s">
        <v>2</v>
      </c>
      <c r="F754" t="s">
        <v>14</v>
      </c>
      <c r="G754" t="s">
        <v>15</v>
      </c>
    </row>
    <row r="755" spans="1:10">
      <c r="A755" t="s">
        <v>480</v>
      </c>
      <c r="C755" s="24">
        <f>AVERAGE(C3:C752)</f>
        <v>0.000103804140619504</v>
      </c>
      <c r="D755" s="29">
        <f>AVERAGE(D3:D753)</f>
        <v>1.21310527127809e-5</v>
      </c>
      <c r="E755" s="23">
        <f>AVERAGE(E2:E753)</f>
        <v>0.0315795212765958</v>
      </c>
      <c r="F755" s="30">
        <f>AVERAGE(F2:F753)</f>
        <v>0.000121459697217676</v>
      </c>
      <c r="G755" s="30">
        <f>AVERAGE(G3:G753)</f>
        <v>-0.000109272921475481</v>
      </c>
    </row>
    <row r="756" spans="1:10">
      <c r="A756" s="25" t="s">
        <v>481</v>
      </c>
      <c r="B756" s="25"/>
      <c r="D756" s="2">
        <f>_xlfn.STDEV.P(D3:D753)</f>
        <v>0.0142971511993626</v>
      </c>
    </row>
    <row r="757" spans="1:10">
      <c r="A757" s="25" t="s">
        <v>482</v>
      </c>
      <c r="B757" s="25"/>
      <c r="D757" s="31">
        <f>G755/D756</f>
        <v>-0.00764298565159977</v>
      </c>
    </row>
    <row r="758" spans="1:10">
      <c r="A758" s="25" t="s">
        <v>483</v>
      </c>
      <c r="B758" s="25"/>
      <c r="D758">
        <f>D757*SQRT(260)</f>
        <v>-0.12323944057949</v>
      </c>
      <c r="J758" s="21"/>
    </row>
    <row r="759" spans="1:10">
      <c r="J759" s="21"/>
    </row>
    <row r="760" spans="1:10">
      <c r="J760" s="21"/>
    </row>
    <row r="761" spans="1:10">
      <c r="J761" s="21"/>
    </row>
    <row r="762" spans="1:10">
      <c r="J762" s="21"/>
    </row>
    <row r="763" spans="1:10">
      <c r="J763" s="21"/>
    </row>
    <row r="764" spans="1:10">
      <c r="J764" s="21"/>
    </row>
    <row r="765" spans="1:10">
      <c r="J765" s="21"/>
    </row>
    <row r="778" spans="10:10">
      <c r="J778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8"/>
  <sheetViews>
    <sheetView workbookViewId="0">
      <selection activeCell="D3" sqref="D3:D753"/>
    </sheetView>
  </sheetViews>
  <sheetFormatPr defaultColWidth="8.72727272727273" defaultRowHeight="14.5" outlineLevelCol="6"/>
  <cols>
    <col min="1" max="1" width="11.2727272727273" customWidth="1"/>
    <col min="2" max="2" width="9.54545454545454"/>
    <col min="3" max="3" width="14"/>
    <col min="4" max="4" width="14.7272727272727"/>
    <col min="6" max="6" width="12.8181818181818"/>
    <col min="7" max="7" width="14"/>
  </cols>
  <sheetData>
    <row r="1" spans="1:7">
      <c r="A1" s="20" t="s">
        <v>11</v>
      </c>
      <c r="B1" s="2" t="s">
        <v>484</v>
      </c>
      <c r="C1" t="s">
        <v>12</v>
      </c>
      <c r="D1" t="s">
        <v>13</v>
      </c>
      <c r="E1" t="s">
        <v>2</v>
      </c>
      <c r="F1" t="s">
        <v>14</v>
      </c>
      <c r="G1" t="s">
        <v>15</v>
      </c>
    </row>
    <row r="2" spans="1:7">
      <c r="A2" s="21">
        <v>46297</v>
      </c>
      <c r="B2" s="22">
        <v>101300</v>
      </c>
      <c r="E2" s="23">
        <v>0.04246</v>
      </c>
      <c r="F2" s="2">
        <f>E2/260</f>
        <v>0.000163307692307692</v>
      </c>
    </row>
    <row r="3" spans="1:7">
      <c r="A3" s="21">
        <v>46267</v>
      </c>
      <c r="B3" s="22">
        <v>95000</v>
      </c>
      <c r="C3" s="2">
        <f>(B3-B2)/B2</f>
        <v>-0.0621915103652517</v>
      </c>
      <c r="D3" s="2">
        <f>LN(B3/B2)</f>
        <v>-0.0642095196540969</v>
      </c>
      <c r="E3" s="23">
        <v>0.04243</v>
      </c>
      <c r="F3" s="2">
        <f t="shared" ref="F3:F66" si="0">E3/260</f>
        <v>0.000163192307692308</v>
      </c>
      <c r="G3" s="2">
        <f>D3-F3</f>
        <v>-0.0643727119617892</v>
      </c>
    </row>
    <row r="4" spans="1:7">
      <c r="A4" s="21">
        <v>46175</v>
      </c>
      <c r="B4" s="22">
        <v>97500</v>
      </c>
      <c r="C4" s="2">
        <f t="shared" ref="C4:C67" si="1">(B4-B3)/B3</f>
        <v>0.0263157894736842</v>
      </c>
      <c r="D4" s="2">
        <f t="shared" ref="D4:D67" si="2">LN(B4/B3)</f>
        <v>0.0259754864032607</v>
      </c>
      <c r="E4" s="23">
        <v>0.04222</v>
      </c>
      <c r="F4" s="2">
        <f t="shared" si="0"/>
        <v>0.000162384615384615</v>
      </c>
      <c r="G4" s="2">
        <f t="shared" ref="G4:G67" si="3">D4-F4</f>
        <v>0.0258131017878761</v>
      </c>
    </row>
    <row r="5" spans="1:7">
      <c r="A5" s="21">
        <v>46144</v>
      </c>
      <c r="B5" s="22">
        <v>97600</v>
      </c>
      <c r="C5" s="2">
        <f t="shared" si="1"/>
        <v>0.00102564102564103</v>
      </c>
      <c r="D5" s="2">
        <f t="shared" si="2"/>
        <v>0.00102511541524535</v>
      </c>
      <c r="E5" s="23">
        <v>0.04219</v>
      </c>
      <c r="F5" s="2">
        <f t="shared" si="0"/>
        <v>0.000162269230769231</v>
      </c>
      <c r="G5" s="2">
        <f t="shared" si="3"/>
        <v>0.00086284618447612</v>
      </c>
    </row>
    <row r="6" spans="1:7">
      <c r="A6" s="21">
        <v>46114</v>
      </c>
      <c r="B6" s="22">
        <v>91300</v>
      </c>
      <c r="C6" s="2">
        <f t="shared" si="1"/>
        <v>-0.0645491803278689</v>
      </c>
      <c r="D6" s="2">
        <f t="shared" si="2"/>
        <v>-0.066726705818124</v>
      </c>
      <c r="E6" s="23">
        <v>0.04223</v>
      </c>
      <c r="F6" s="2">
        <f t="shared" si="0"/>
        <v>0.000162423076923077</v>
      </c>
      <c r="G6" s="2">
        <f t="shared" si="3"/>
        <v>-0.0668891288950471</v>
      </c>
    </row>
    <row r="7" spans="1:7">
      <c r="A7" s="21">
        <v>46083</v>
      </c>
      <c r="B7" s="22">
        <v>97300</v>
      </c>
      <c r="C7" s="2">
        <f t="shared" si="1"/>
        <v>0.0657174151150055</v>
      </c>
      <c r="D7" s="2">
        <f t="shared" si="2"/>
        <v>0.0636482015910366</v>
      </c>
      <c r="E7" s="23">
        <v>0.04203</v>
      </c>
      <c r="F7" s="2">
        <f t="shared" si="0"/>
        <v>0.000161653846153846</v>
      </c>
      <c r="G7" s="2">
        <f t="shared" si="3"/>
        <v>0.0634865477448828</v>
      </c>
    </row>
    <row r="8" spans="1:7">
      <c r="A8" s="21">
        <v>46055</v>
      </c>
      <c r="B8" s="22">
        <v>98600</v>
      </c>
      <c r="C8" s="2">
        <f t="shared" si="1"/>
        <v>0.013360739979445</v>
      </c>
      <c r="D8" s="2">
        <f t="shared" si="2"/>
        <v>0.0132722724166304</v>
      </c>
      <c r="E8" s="23">
        <v>0.04203</v>
      </c>
      <c r="F8" s="2">
        <f t="shared" si="0"/>
        <v>0.000161653846153846</v>
      </c>
      <c r="G8" s="2">
        <f t="shared" si="3"/>
        <v>0.0131106185704766</v>
      </c>
    </row>
    <row r="9" spans="1:7">
      <c r="A9" t="s">
        <v>16</v>
      </c>
      <c r="B9" s="22">
        <v>106000</v>
      </c>
      <c r="C9" s="2">
        <f t="shared" si="1"/>
        <v>0.0750507099391481</v>
      </c>
      <c r="D9" s="2">
        <f t="shared" si="2"/>
        <v>0.0723678325034773</v>
      </c>
      <c r="E9" s="23">
        <v>0.04178</v>
      </c>
      <c r="F9" s="2">
        <f t="shared" si="0"/>
        <v>0.000160692307692308</v>
      </c>
      <c r="G9" s="2">
        <f t="shared" si="3"/>
        <v>0.072207140195785</v>
      </c>
    </row>
    <row r="10" spans="1:7">
      <c r="A10" t="s">
        <v>17</v>
      </c>
      <c r="B10" s="22">
        <v>107000</v>
      </c>
      <c r="C10" s="2">
        <f t="shared" si="1"/>
        <v>0.00943396226415094</v>
      </c>
      <c r="D10" s="2">
        <f t="shared" si="2"/>
        <v>0.00938974034983914</v>
      </c>
      <c r="E10" s="23">
        <v>0.04188</v>
      </c>
      <c r="F10" s="2">
        <f t="shared" si="0"/>
        <v>0.000161076923076923</v>
      </c>
      <c r="G10" s="2">
        <f t="shared" si="3"/>
        <v>0.00922866342676221</v>
      </c>
    </row>
    <row r="11" spans="1:7">
      <c r="A11" t="s">
        <v>18</v>
      </c>
      <c r="B11" s="22">
        <v>104300</v>
      </c>
      <c r="C11" s="2">
        <f t="shared" si="1"/>
        <v>-0.0252336448598131</v>
      </c>
      <c r="D11" s="2">
        <f t="shared" si="2"/>
        <v>-0.0255574724551794</v>
      </c>
      <c r="E11" s="23">
        <v>0.04176</v>
      </c>
      <c r="F11" s="2">
        <f t="shared" si="0"/>
        <v>0.000160615384615385</v>
      </c>
      <c r="G11" s="2">
        <f t="shared" si="3"/>
        <v>-0.0257180878397948</v>
      </c>
    </row>
    <row r="12" spans="1:7">
      <c r="A12" t="s">
        <v>19</v>
      </c>
      <c r="B12" s="22">
        <v>110600</v>
      </c>
      <c r="C12" s="2">
        <f t="shared" si="1"/>
        <v>0.0604026845637584</v>
      </c>
      <c r="D12" s="2">
        <f t="shared" si="2"/>
        <v>0.0586487270815077</v>
      </c>
      <c r="E12" s="23">
        <v>0.04184</v>
      </c>
      <c r="F12" s="2">
        <f t="shared" si="0"/>
        <v>0.000160923076923077</v>
      </c>
      <c r="G12" s="2">
        <f t="shared" si="3"/>
        <v>0.0584878040045846</v>
      </c>
    </row>
    <row r="13" spans="1:7">
      <c r="A13" t="s">
        <v>20</v>
      </c>
      <c r="B13" s="22">
        <v>118900</v>
      </c>
      <c r="C13" s="2">
        <f t="shared" si="1"/>
        <v>0.0750452079566004</v>
      </c>
      <c r="D13" s="2">
        <f t="shared" si="2"/>
        <v>0.0723627146085018</v>
      </c>
      <c r="E13" s="23">
        <v>0.04181</v>
      </c>
      <c r="F13" s="2">
        <f t="shared" si="0"/>
        <v>0.000160807692307692</v>
      </c>
      <c r="G13" s="2">
        <f t="shared" si="3"/>
        <v>0.0722019069161941</v>
      </c>
    </row>
    <row r="14" spans="1:7">
      <c r="A14" t="s">
        <v>21</v>
      </c>
      <c r="B14" s="22">
        <v>122500</v>
      </c>
      <c r="C14" s="2">
        <f t="shared" si="1"/>
        <v>0.0302775441547519</v>
      </c>
      <c r="D14" s="2">
        <f t="shared" si="2"/>
        <v>0.0298282262880455</v>
      </c>
      <c r="E14" s="23">
        <v>0.04177</v>
      </c>
      <c r="F14" s="2">
        <f t="shared" si="0"/>
        <v>0.000160653846153846</v>
      </c>
      <c r="G14" s="2">
        <f t="shared" si="3"/>
        <v>0.0296675724418916</v>
      </c>
    </row>
    <row r="15" spans="1:7">
      <c r="A15" t="s">
        <v>22</v>
      </c>
      <c r="B15" s="22">
        <v>120500</v>
      </c>
      <c r="C15" s="2">
        <f t="shared" si="1"/>
        <v>-0.0163265306122449</v>
      </c>
      <c r="D15" s="2">
        <f t="shared" si="2"/>
        <v>-0.016461277054072</v>
      </c>
      <c r="E15" s="23">
        <v>0.04185</v>
      </c>
      <c r="F15" s="2">
        <f t="shared" si="0"/>
        <v>0.000160961538461538</v>
      </c>
      <c r="G15" s="2">
        <f t="shared" si="3"/>
        <v>-0.0166222385925335</v>
      </c>
    </row>
    <row r="16" spans="1:7">
      <c r="A16" t="s">
        <v>23</v>
      </c>
      <c r="B16" s="22">
        <v>122900</v>
      </c>
      <c r="C16" s="2">
        <f t="shared" si="1"/>
        <v>0.0199170124481328</v>
      </c>
      <c r="D16" s="2">
        <f t="shared" si="2"/>
        <v>0.0197212636412794</v>
      </c>
      <c r="E16" s="23">
        <v>0.04161</v>
      </c>
      <c r="F16" s="2">
        <f t="shared" si="0"/>
        <v>0.000160038461538462</v>
      </c>
      <c r="G16" s="2">
        <f t="shared" si="3"/>
        <v>0.0195612251797409</v>
      </c>
    </row>
    <row r="17" spans="1:7">
      <c r="A17" t="s">
        <v>24</v>
      </c>
      <c r="B17" s="22">
        <v>123000</v>
      </c>
      <c r="C17" s="2">
        <f t="shared" si="1"/>
        <v>0.00081366965012205</v>
      </c>
      <c r="D17" s="2">
        <f t="shared" si="2"/>
        <v>0.000813338800428281</v>
      </c>
      <c r="E17" s="23">
        <v>0.04175</v>
      </c>
      <c r="F17" s="2">
        <f t="shared" si="0"/>
        <v>0.000160576923076923</v>
      </c>
      <c r="G17" s="2">
        <f t="shared" si="3"/>
        <v>0.000652761877351358</v>
      </c>
    </row>
    <row r="18" spans="1:7">
      <c r="A18" t="s">
        <v>25</v>
      </c>
      <c r="B18" s="22">
        <v>125000</v>
      </c>
      <c r="C18" s="2">
        <f t="shared" si="1"/>
        <v>0.016260162601626</v>
      </c>
      <c r="D18" s="2">
        <f t="shared" si="2"/>
        <v>0.0161293819298837</v>
      </c>
      <c r="E18" s="23">
        <v>0.04261</v>
      </c>
      <c r="F18" s="2">
        <f t="shared" si="0"/>
        <v>0.000163884615384615</v>
      </c>
      <c r="G18" s="2">
        <f t="shared" si="3"/>
        <v>0.0159654973144991</v>
      </c>
    </row>
    <row r="19" spans="1:7">
      <c r="A19" t="s">
        <v>26</v>
      </c>
      <c r="B19" s="22">
        <v>124100</v>
      </c>
      <c r="C19" s="2">
        <f t="shared" si="1"/>
        <v>-0.0072</v>
      </c>
      <c r="D19" s="2">
        <f t="shared" si="2"/>
        <v>-0.00722604509173958</v>
      </c>
      <c r="E19" s="23">
        <v>0.04266</v>
      </c>
      <c r="F19" s="2">
        <f t="shared" si="0"/>
        <v>0.000164076923076923</v>
      </c>
      <c r="G19" s="2">
        <f t="shared" si="3"/>
        <v>-0.00739012201481651</v>
      </c>
    </row>
    <row r="20" spans="1:7">
      <c r="A20" t="s">
        <v>27</v>
      </c>
      <c r="B20" s="22">
        <v>120000</v>
      </c>
      <c r="C20" s="2">
        <f t="shared" si="1"/>
        <v>-0.0330378726833199</v>
      </c>
      <c r="D20" s="2">
        <f t="shared" si="2"/>
        <v>-0.0335959494285155</v>
      </c>
      <c r="E20" s="23">
        <v>0.04257</v>
      </c>
      <c r="F20" s="2">
        <f t="shared" si="0"/>
        <v>0.000163730769230769</v>
      </c>
      <c r="G20" s="2">
        <f t="shared" si="3"/>
        <v>-0.0337596801977463</v>
      </c>
    </row>
    <row r="21" spans="1:7">
      <c r="A21" t="s">
        <v>28</v>
      </c>
      <c r="B21" s="22">
        <v>126300</v>
      </c>
      <c r="C21" s="2">
        <f t="shared" si="1"/>
        <v>0.0525</v>
      </c>
      <c r="D21" s="2">
        <f t="shared" si="2"/>
        <v>0.0511682865743994</v>
      </c>
      <c r="E21" s="23">
        <v>0.0426</v>
      </c>
      <c r="F21" s="2">
        <f t="shared" si="0"/>
        <v>0.000163846153846154</v>
      </c>
      <c r="G21" s="2">
        <f t="shared" si="3"/>
        <v>0.0510044404205533</v>
      </c>
    </row>
    <row r="22" spans="1:7">
      <c r="A22" t="s">
        <v>29</v>
      </c>
      <c r="B22" s="22">
        <v>134000</v>
      </c>
      <c r="C22" s="2">
        <f t="shared" si="1"/>
        <v>0.060965954077593</v>
      </c>
      <c r="D22" s="2">
        <f t="shared" si="2"/>
        <v>0.059179770594466</v>
      </c>
      <c r="E22" s="23">
        <v>0.04258</v>
      </c>
      <c r="F22" s="2">
        <f t="shared" si="0"/>
        <v>0.000163769230769231</v>
      </c>
      <c r="G22" s="2">
        <f t="shared" si="3"/>
        <v>0.0590160013636968</v>
      </c>
    </row>
    <row r="23" spans="1:7">
      <c r="A23" s="21">
        <v>46357</v>
      </c>
      <c r="B23" s="22">
        <v>130200</v>
      </c>
      <c r="C23" s="2">
        <f t="shared" si="1"/>
        <v>-0.0283582089552239</v>
      </c>
      <c r="D23" s="2">
        <f t="shared" si="2"/>
        <v>-0.0287680701764425</v>
      </c>
      <c r="E23" s="23">
        <v>0.04268</v>
      </c>
      <c r="F23" s="2">
        <f t="shared" si="0"/>
        <v>0.000164153846153846</v>
      </c>
      <c r="G23" s="2">
        <f t="shared" si="3"/>
        <v>-0.0289322240225964</v>
      </c>
    </row>
    <row r="24" spans="1:7">
      <c r="A24" s="21">
        <v>46266</v>
      </c>
      <c r="B24" s="22">
        <v>140000</v>
      </c>
      <c r="C24" s="2">
        <f t="shared" si="1"/>
        <v>0.0752688172043011</v>
      </c>
      <c r="D24" s="2">
        <f t="shared" si="2"/>
        <v>0.0725706928348354</v>
      </c>
      <c r="E24" s="23">
        <v>0.04277</v>
      </c>
      <c r="F24" s="2">
        <f t="shared" si="0"/>
        <v>0.0001645</v>
      </c>
      <c r="G24" s="2">
        <f t="shared" si="3"/>
        <v>0.0724061928348354</v>
      </c>
    </row>
    <row r="25" spans="1:7">
      <c r="A25" s="21">
        <v>46235</v>
      </c>
      <c r="B25" s="22">
        <v>139100</v>
      </c>
      <c r="C25" s="2">
        <f t="shared" si="1"/>
        <v>-0.00642857142857143</v>
      </c>
      <c r="D25" s="2">
        <f t="shared" si="2"/>
        <v>-0.00644932367990709</v>
      </c>
      <c r="E25" s="23">
        <v>0.043</v>
      </c>
      <c r="F25" s="2">
        <f t="shared" si="0"/>
        <v>0.000165384615384615</v>
      </c>
      <c r="G25" s="2">
        <f t="shared" si="3"/>
        <v>-0.00661470829529171</v>
      </c>
    </row>
    <row r="26" spans="1:7">
      <c r="A26" s="21">
        <v>46204</v>
      </c>
      <c r="B26" s="22">
        <v>149500</v>
      </c>
      <c r="C26" s="2">
        <f t="shared" si="1"/>
        <v>0.0747663551401869</v>
      </c>
      <c r="D26" s="2">
        <f t="shared" si="2"/>
        <v>0.0721032939013439</v>
      </c>
      <c r="E26" s="23">
        <v>0.04223</v>
      </c>
      <c r="F26" s="2">
        <f t="shared" si="0"/>
        <v>0.000162423076923077</v>
      </c>
      <c r="G26" s="2">
        <f t="shared" si="3"/>
        <v>0.0719408708244208</v>
      </c>
    </row>
    <row r="27" spans="1:7">
      <c r="A27" s="21">
        <v>46174</v>
      </c>
      <c r="B27" s="22">
        <v>141800</v>
      </c>
      <c r="C27" s="2">
        <f t="shared" si="1"/>
        <v>-0.051505016722408</v>
      </c>
      <c r="D27" s="2">
        <f t="shared" si="2"/>
        <v>-0.052878778732714</v>
      </c>
      <c r="E27" s="23">
        <v>0.04186</v>
      </c>
      <c r="F27" s="2">
        <f t="shared" si="0"/>
        <v>0.000161</v>
      </c>
      <c r="G27" s="2">
        <f t="shared" si="3"/>
        <v>-0.053039778732714</v>
      </c>
    </row>
    <row r="28" spans="1:7">
      <c r="A28" s="21">
        <v>46143</v>
      </c>
      <c r="B28" s="22">
        <v>132600</v>
      </c>
      <c r="C28" s="2">
        <f t="shared" si="1"/>
        <v>-0.0648801128349788</v>
      </c>
      <c r="D28" s="2">
        <f t="shared" si="2"/>
        <v>-0.067080536346265</v>
      </c>
      <c r="E28" s="23">
        <v>0.04182</v>
      </c>
      <c r="F28" s="2">
        <f t="shared" si="0"/>
        <v>0.000160846153846154</v>
      </c>
      <c r="G28" s="2">
        <f t="shared" si="3"/>
        <v>-0.0672413825001111</v>
      </c>
    </row>
    <row r="29" spans="1:7">
      <c r="A29" t="s">
        <v>30</v>
      </c>
      <c r="B29" s="22">
        <v>124000</v>
      </c>
      <c r="C29" s="2">
        <f t="shared" si="1"/>
        <v>-0.0648567119155355</v>
      </c>
      <c r="D29" s="2">
        <f t="shared" si="2"/>
        <v>-0.0670555121467253</v>
      </c>
      <c r="E29" s="23">
        <v>0.04186</v>
      </c>
      <c r="F29" s="2">
        <f t="shared" si="0"/>
        <v>0.000161</v>
      </c>
      <c r="G29" s="2">
        <f t="shared" si="3"/>
        <v>-0.0672165121467252</v>
      </c>
    </row>
    <row r="30" spans="1:7">
      <c r="A30" t="s">
        <v>31</v>
      </c>
      <c r="B30" s="22">
        <v>117500</v>
      </c>
      <c r="C30" s="2">
        <f t="shared" si="1"/>
        <v>-0.0524193548387097</v>
      </c>
      <c r="D30" s="2">
        <f t="shared" si="2"/>
        <v>-0.0538432320208232</v>
      </c>
      <c r="E30" s="23">
        <v>0.04183</v>
      </c>
      <c r="F30" s="2">
        <f t="shared" si="0"/>
        <v>0.000160884615384615</v>
      </c>
      <c r="G30" s="2">
        <f t="shared" si="3"/>
        <v>-0.0540041166362078</v>
      </c>
    </row>
    <row r="31" spans="1:7">
      <c r="A31" t="s">
        <v>32</v>
      </c>
      <c r="B31" s="22">
        <v>117700</v>
      </c>
      <c r="C31" s="2">
        <f t="shared" si="1"/>
        <v>0.00170212765957447</v>
      </c>
      <c r="D31" s="2">
        <f t="shared" si="2"/>
        <v>0.00170068068201747</v>
      </c>
      <c r="E31" s="23">
        <v>0.04182</v>
      </c>
      <c r="F31" s="2">
        <f t="shared" si="0"/>
        <v>0.000160846153846154</v>
      </c>
      <c r="G31" s="2">
        <f t="shared" si="3"/>
        <v>0.00153983452817132</v>
      </c>
    </row>
    <row r="32" spans="1:7">
      <c r="A32" t="s">
        <v>33</v>
      </c>
      <c r="B32" s="22">
        <v>110000</v>
      </c>
      <c r="C32" s="2">
        <f t="shared" si="1"/>
        <v>-0.0654205607476635</v>
      </c>
      <c r="D32" s="2">
        <f t="shared" si="2"/>
        <v>-0.0676586484738148</v>
      </c>
      <c r="E32" s="23">
        <v>0.04179</v>
      </c>
      <c r="F32" s="2">
        <f t="shared" si="0"/>
        <v>0.000160730769230769</v>
      </c>
      <c r="G32" s="2">
        <f t="shared" si="3"/>
        <v>-0.0678193792430456</v>
      </c>
    </row>
    <row r="33" spans="1:7">
      <c r="A33" t="s">
        <v>34</v>
      </c>
      <c r="B33" s="22">
        <v>114300</v>
      </c>
      <c r="C33" s="2">
        <f t="shared" si="1"/>
        <v>0.0390909090909091</v>
      </c>
      <c r="D33" s="2">
        <f t="shared" si="2"/>
        <v>0.0383462050083487</v>
      </c>
      <c r="E33" s="23">
        <v>0.04179</v>
      </c>
      <c r="F33" s="2">
        <f t="shared" si="0"/>
        <v>0.000160730769230769</v>
      </c>
      <c r="G33" s="2">
        <f t="shared" si="3"/>
        <v>0.038185474239118</v>
      </c>
    </row>
    <row r="34" spans="1:7">
      <c r="A34" t="s">
        <v>35</v>
      </c>
      <c r="B34" s="22">
        <v>122800</v>
      </c>
      <c r="C34" s="2">
        <f t="shared" si="1"/>
        <v>0.0743657042869641</v>
      </c>
      <c r="D34" s="2">
        <f t="shared" si="2"/>
        <v>0.0717304449122771</v>
      </c>
      <c r="E34" s="23">
        <v>0.04159</v>
      </c>
      <c r="F34" s="2">
        <f t="shared" si="0"/>
        <v>0.000159961538461538</v>
      </c>
      <c r="G34" s="2">
        <f t="shared" si="3"/>
        <v>0.0715704833738156</v>
      </c>
    </row>
    <row r="35" spans="1:7">
      <c r="A35" t="s">
        <v>36</v>
      </c>
      <c r="B35" s="22">
        <v>114900</v>
      </c>
      <c r="C35" s="2">
        <f t="shared" si="1"/>
        <v>-0.0643322475570033</v>
      </c>
      <c r="D35" s="2">
        <f t="shared" si="2"/>
        <v>-0.0664948308583321</v>
      </c>
      <c r="E35" s="23">
        <v>0.04159</v>
      </c>
      <c r="F35" s="2">
        <f t="shared" si="0"/>
        <v>0.000159961538461538</v>
      </c>
      <c r="G35" s="2">
        <f t="shared" si="3"/>
        <v>-0.0666547923967937</v>
      </c>
    </row>
    <row r="36" spans="1:7">
      <c r="A36" t="s">
        <v>37</v>
      </c>
      <c r="B36" s="22">
        <v>107400</v>
      </c>
      <c r="C36" s="2">
        <f t="shared" si="1"/>
        <v>-0.0652741514360313</v>
      </c>
      <c r="D36" s="2">
        <f t="shared" si="2"/>
        <v>-0.0675020027799457</v>
      </c>
      <c r="E36" s="23">
        <v>0.04157</v>
      </c>
      <c r="F36" s="2">
        <f t="shared" si="0"/>
        <v>0.000159884615384615</v>
      </c>
      <c r="G36" s="2">
        <f t="shared" si="3"/>
        <v>-0.0676618873953303</v>
      </c>
    </row>
    <row r="37" spans="1:7">
      <c r="A37" t="s">
        <v>38</v>
      </c>
      <c r="B37" s="22">
        <v>101500</v>
      </c>
      <c r="C37" s="2">
        <f t="shared" si="1"/>
        <v>-0.0549348230912477</v>
      </c>
      <c r="D37" s="2">
        <f t="shared" si="2"/>
        <v>-0.0565013835929223</v>
      </c>
      <c r="E37" s="23">
        <v>0.04153</v>
      </c>
      <c r="F37" s="2">
        <f t="shared" si="0"/>
        <v>0.000159730769230769</v>
      </c>
      <c r="G37" s="2">
        <f t="shared" si="3"/>
        <v>-0.056661114362153</v>
      </c>
    </row>
    <row r="38" spans="1:7">
      <c r="A38" t="s">
        <v>39</v>
      </c>
      <c r="B38" s="22">
        <v>94900</v>
      </c>
      <c r="C38" s="2">
        <f t="shared" si="1"/>
        <v>-0.0650246305418719</v>
      </c>
      <c r="D38" s="2">
        <f t="shared" si="2"/>
        <v>-0.0672350928659598</v>
      </c>
      <c r="E38" s="23">
        <v>0.04144</v>
      </c>
      <c r="F38" s="2">
        <f t="shared" si="0"/>
        <v>0.000159384615384615</v>
      </c>
      <c r="G38" s="2">
        <f t="shared" si="3"/>
        <v>-0.0673944774813444</v>
      </c>
    </row>
    <row r="39" spans="1:7">
      <c r="A39" t="s">
        <v>40</v>
      </c>
      <c r="B39" s="22">
        <v>94900</v>
      </c>
      <c r="C39" s="2">
        <f t="shared" si="1"/>
        <v>0</v>
      </c>
      <c r="D39" s="2">
        <f t="shared" si="2"/>
        <v>0</v>
      </c>
      <c r="E39" s="23">
        <v>0.04128</v>
      </c>
      <c r="F39" s="2">
        <f t="shared" si="0"/>
        <v>0.000158769230769231</v>
      </c>
      <c r="G39" s="2">
        <f t="shared" si="3"/>
        <v>-0.000158769230769231</v>
      </c>
    </row>
    <row r="40" spans="1:7">
      <c r="A40" t="s">
        <v>41</v>
      </c>
      <c r="B40" s="22">
        <v>95000</v>
      </c>
      <c r="C40" s="2">
        <f t="shared" si="1"/>
        <v>0.00105374077976818</v>
      </c>
      <c r="D40" s="2">
        <f t="shared" si="2"/>
        <v>0.00105318598465864</v>
      </c>
      <c r="E40" s="23">
        <v>0.0413</v>
      </c>
      <c r="F40" s="2">
        <f t="shared" si="0"/>
        <v>0.000158846153846154</v>
      </c>
      <c r="G40" s="2">
        <f t="shared" si="3"/>
        <v>0.000894339830812487</v>
      </c>
    </row>
    <row r="41" spans="1:7">
      <c r="A41" t="s">
        <v>42</v>
      </c>
      <c r="B41" s="22">
        <v>92500</v>
      </c>
      <c r="C41" s="2">
        <f t="shared" si="1"/>
        <v>-0.0263157894736842</v>
      </c>
      <c r="D41" s="2">
        <f t="shared" si="2"/>
        <v>-0.0266682470821613</v>
      </c>
      <c r="E41" s="23">
        <v>0.04126</v>
      </c>
      <c r="F41" s="2">
        <f t="shared" si="0"/>
        <v>0.000158692307692308</v>
      </c>
      <c r="G41" s="2">
        <f t="shared" si="3"/>
        <v>-0.0268269393898536</v>
      </c>
    </row>
    <row r="42" spans="1:7">
      <c r="A42" s="21">
        <v>46003</v>
      </c>
      <c r="B42" s="22">
        <v>94100</v>
      </c>
      <c r="C42" s="2">
        <f t="shared" si="1"/>
        <v>0.0172972972972973</v>
      </c>
      <c r="D42" s="2">
        <f t="shared" si="2"/>
        <v>0.0171494020729545</v>
      </c>
      <c r="E42" s="23">
        <v>0.04124</v>
      </c>
      <c r="F42" s="2">
        <f t="shared" si="0"/>
        <v>0.000158615384615385</v>
      </c>
      <c r="G42" s="2">
        <f t="shared" si="3"/>
        <v>0.0169907866883391</v>
      </c>
    </row>
    <row r="43" spans="1:7">
      <c r="A43" s="21">
        <v>45973</v>
      </c>
      <c r="B43" s="22">
        <v>101100</v>
      </c>
      <c r="C43" s="2">
        <f t="shared" si="1"/>
        <v>0.0743889479277365</v>
      </c>
      <c r="D43" s="2">
        <f t="shared" si="2"/>
        <v>0.0717520794350918</v>
      </c>
      <c r="E43" s="23">
        <v>0.04127</v>
      </c>
      <c r="F43" s="2">
        <f t="shared" si="0"/>
        <v>0.000158730769230769</v>
      </c>
      <c r="G43" s="2">
        <f t="shared" si="3"/>
        <v>0.071593348665861</v>
      </c>
    </row>
    <row r="44" spans="1:7">
      <c r="A44" s="21">
        <v>45942</v>
      </c>
      <c r="B44" s="22">
        <v>103500</v>
      </c>
      <c r="C44" s="2">
        <f t="shared" si="1"/>
        <v>0.0237388724035608</v>
      </c>
      <c r="D44" s="2">
        <f t="shared" si="2"/>
        <v>0.023461486678998</v>
      </c>
      <c r="E44" s="23">
        <v>0.04097</v>
      </c>
      <c r="F44" s="2">
        <f t="shared" si="0"/>
        <v>0.000157576923076923</v>
      </c>
      <c r="G44" s="2">
        <f t="shared" si="3"/>
        <v>0.023303909755921</v>
      </c>
    </row>
    <row r="45" spans="1:7">
      <c r="A45" s="21">
        <v>45912</v>
      </c>
      <c r="B45" s="22">
        <v>107500</v>
      </c>
      <c r="C45" s="2">
        <f t="shared" si="1"/>
        <v>0.0386473429951691</v>
      </c>
      <c r="D45" s="2">
        <f t="shared" si="2"/>
        <v>0.0379192348622937</v>
      </c>
      <c r="E45" s="23">
        <v>0.04098</v>
      </c>
      <c r="F45" s="2">
        <f t="shared" si="0"/>
        <v>0.000157615384615385</v>
      </c>
      <c r="G45" s="2">
        <f t="shared" si="3"/>
        <v>0.0377616194776783</v>
      </c>
    </row>
    <row r="46" spans="1:7">
      <c r="A46" s="21">
        <v>45881</v>
      </c>
      <c r="B46" s="22">
        <v>110000</v>
      </c>
      <c r="C46" s="2">
        <f t="shared" si="1"/>
        <v>0.0232558139534884</v>
      </c>
      <c r="D46" s="2">
        <f t="shared" si="2"/>
        <v>0.0229895182246988</v>
      </c>
      <c r="E46" s="23">
        <v>0.04098</v>
      </c>
      <c r="F46" s="2">
        <f t="shared" si="0"/>
        <v>0.000157615384615385</v>
      </c>
      <c r="G46" s="2">
        <f t="shared" si="3"/>
        <v>0.0228319028400834</v>
      </c>
    </row>
    <row r="47" spans="1:7">
      <c r="A47" s="21">
        <v>45789</v>
      </c>
      <c r="B47" s="22">
        <v>107000</v>
      </c>
      <c r="C47" s="2">
        <f t="shared" si="1"/>
        <v>-0.0272727272727273</v>
      </c>
      <c r="D47" s="2">
        <f t="shared" si="2"/>
        <v>-0.02765153133051</v>
      </c>
      <c r="E47" s="23">
        <v>0.04097</v>
      </c>
      <c r="F47" s="2">
        <f t="shared" si="0"/>
        <v>0.000157576923076923</v>
      </c>
      <c r="G47" s="2">
        <f t="shared" si="3"/>
        <v>-0.0278091082535869</v>
      </c>
    </row>
    <row r="48" spans="1:7">
      <c r="A48" s="21">
        <v>45759</v>
      </c>
      <c r="B48" s="22">
        <v>105200</v>
      </c>
      <c r="C48" s="2">
        <f t="shared" si="1"/>
        <v>-0.0168224299065421</v>
      </c>
      <c r="D48" s="2">
        <f t="shared" si="2"/>
        <v>-0.0169655341582967</v>
      </c>
      <c r="E48" s="23">
        <v>0.04078</v>
      </c>
      <c r="F48" s="2">
        <f t="shared" si="0"/>
        <v>0.000156846153846154</v>
      </c>
      <c r="G48" s="2">
        <f t="shared" si="3"/>
        <v>-0.0171223803121428</v>
      </c>
    </row>
    <row r="49" spans="1:7">
      <c r="A49" s="21">
        <v>45728</v>
      </c>
      <c r="B49" s="22">
        <v>106800</v>
      </c>
      <c r="C49" s="2">
        <f t="shared" si="1"/>
        <v>0.0152091254752852</v>
      </c>
      <c r="D49" s="2">
        <f t="shared" si="2"/>
        <v>0.0150946262224849</v>
      </c>
      <c r="E49" s="23">
        <v>0.04084</v>
      </c>
      <c r="F49" s="2">
        <f t="shared" si="0"/>
        <v>0.000157076923076923</v>
      </c>
      <c r="G49" s="2">
        <f t="shared" si="3"/>
        <v>0.014937549299408</v>
      </c>
    </row>
    <row r="50" spans="1:7">
      <c r="A50" s="21">
        <v>45700</v>
      </c>
      <c r="B50" s="22">
        <v>106800</v>
      </c>
      <c r="C50" s="2">
        <f t="shared" si="1"/>
        <v>0</v>
      </c>
      <c r="D50" s="2">
        <f t="shared" si="2"/>
        <v>0</v>
      </c>
      <c r="E50" s="23">
        <v>0.04064</v>
      </c>
      <c r="F50" s="2">
        <f t="shared" si="0"/>
        <v>0.000156307692307692</v>
      </c>
      <c r="G50" s="2">
        <f t="shared" si="3"/>
        <v>-0.000156307692307692</v>
      </c>
    </row>
    <row r="51" spans="1:7">
      <c r="A51" s="21">
        <v>45669</v>
      </c>
      <c r="B51" s="22">
        <v>105700</v>
      </c>
      <c r="C51" s="2">
        <f t="shared" si="1"/>
        <v>-0.0102996254681648</v>
      </c>
      <c r="D51" s="2">
        <f t="shared" si="2"/>
        <v>-0.0103530336499025</v>
      </c>
      <c r="E51" s="23">
        <v>0.04049</v>
      </c>
      <c r="F51" s="2">
        <f t="shared" si="0"/>
        <v>0.000155730769230769</v>
      </c>
      <c r="G51" s="2">
        <f t="shared" si="3"/>
        <v>-0.0105087644191333</v>
      </c>
    </row>
    <row r="52" spans="1:7">
      <c r="A52" t="s">
        <v>43</v>
      </c>
      <c r="B52" s="22">
        <v>102900</v>
      </c>
      <c r="C52" s="2">
        <f t="shared" si="1"/>
        <v>-0.0264900662251656</v>
      </c>
      <c r="D52" s="2">
        <f t="shared" si="2"/>
        <v>-0.0268472500361881</v>
      </c>
      <c r="E52" s="23">
        <v>0.04031</v>
      </c>
      <c r="F52" s="2">
        <f t="shared" si="0"/>
        <v>0.000155038461538462</v>
      </c>
      <c r="G52" s="2">
        <f t="shared" si="3"/>
        <v>-0.0270022884977265</v>
      </c>
    </row>
    <row r="53" spans="1:7">
      <c r="A53" t="s">
        <v>44</v>
      </c>
      <c r="B53" s="22">
        <v>102500</v>
      </c>
      <c r="C53" s="2">
        <f t="shared" si="1"/>
        <v>-0.00388726919339164</v>
      </c>
      <c r="D53" s="2">
        <f t="shared" si="2"/>
        <v>-0.00389484426154107</v>
      </c>
      <c r="E53" s="23">
        <v>0.04028</v>
      </c>
      <c r="F53" s="2">
        <f t="shared" si="0"/>
        <v>0.000154923076923077</v>
      </c>
      <c r="G53" s="2">
        <f t="shared" si="3"/>
        <v>-0.00404976733846415</v>
      </c>
    </row>
    <row r="54" spans="1:7">
      <c r="A54" t="s">
        <v>45</v>
      </c>
      <c r="B54" s="22">
        <v>102100</v>
      </c>
      <c r="C54" s="2">
        <f t="shared" si="1"/>
        <v>-0.00390243902439024</v>
      </c>
      <c r="D54" s="2">
        <f t="shared" si="2"/>
        <v>-0.003910073407843</v>
      </c>
      <c r="E54" s="23">
        <v>0.03999</v>
      </c>
      <c r="F54" s="2">
        <f t="shared" si="0"/>
        <v>0.000153807692307692</v>
      </c>
      <c r="G54" s="2">
        <f t="shared" si="3"/>
        <v>-0.00406388110015069</v>
      </c>
    </row>
    <row r="55" spans="1:7">
      <c r="A55" t="s">
        <v>46</v>
      </c>
      <c r="B55" s="22">
        <v>102600</v>
      </c>
      <c r="C55" s="2">
        <f t="shared" si="1"/>
        <v>0.00489715964740451</v>
      </c>
      <c r="D55" s="2">
        <f t="shared" si="2"/>
        <v>0.00488520756604934</v>
      </c>
      <c r="E55" s="23">
        <v>0.0401</v>
      </c>
      <c r="F55" s="2">
        <f t="shared" si="0"/>
        <v>0.000154230769230769</v>
      </c>
      <c r="G55" s="2">
        <f t="shared" si="3"/>
        <v>0.00473097679681857</v>
      </c>
    </row>
    <row r="56" spans="1:7">
      <c r="A56" t="s">
        <v>47</v>
      </c>
      <c r="B56" s="22">
        <v>102700</v>
      </c>
      <c r="C56" s="2">
        <f t="shared" si="1"/>
        <v>0.000974658869395711</v>
      </c>
      <c r="D56" s="2">
        <f t="shared" si="2"/>
        <v>0.000974184197843414</v>
      </c>
      <c r="E56" s="23">
        <v>0.04012</v>
      </c>
      <c r="F56" s="2">
        <f t="shared" si="0"/>
        <v>0.000154307692307692</v>
      </c>
      <c r="G56" s="2">
        <f t="shared" si="3"/>
        <v>0.000819876505535722</v>
      </c>
    </row>
    <row r="57" spans="1:7">
      <c r="A57" t="s">
        <v>48</v>
      </c>
      <c r="B57" s="22">
        <v>99300</v>
      </c>
      <c r="C57" s="2">
        <f t="shared" si="1"/>
        <v>-0.0331061343719572</v>
      </c>
      <c r="D57" s="2">
        <f t="shared" si="2"/>
        <v>-0.0336665458833857</v>
      </c>
      <c r="E57" s="23">
        <v>0.03985</v>
      </c>
      <c r="F57" s="2">
        <f t="shared" si="0"/>
        <v>0.000153269230769231</v>
      </c>
      <c r="G57" s="2">
        <f t="shared" si="3"/>
        <v>-0.0338198151141549</v>
      </c>
    </row>
    <row r="58" spans="1:7">
      <c r="A58" t="s">
        <v>49</v>
      </c>
      <c r="B58" s="22">
        <v>97800</v>
      </c>
      <c r="C58" s="2">
        <f t="shared" si="1"/>
        <v>-0.0151057401812689</v>
      </c>
      <c r="D58" s="2">
        <f t="shared" si="2"/>
        <v>-0.0152209940103552</v>
      </c>
      <c r="E58" s="23">
        <v>0.04012</v>
      </c>
      <c r="F58" s="2">
        <f t="shared" si="0"/>
        <v>0.000154307692307692</v>
      </c>
      <c r="G58" s="2">
        <f t="shared" si="3"/>
        <v>-0.0153753017026629</v>
      </c>
    </row>
    <row r="59" spans="1:7">
      <c r="A59" t="s">
        <v>50</v>
      </c>
      <c r="B59" s="22">
        <v>96900</v>
      </c>
      <c r="C59" s="2">
        <f t="shared" si="1"/>
        <v>-0.00920245398773006</v>
      </c>
      <c r="D59" s="2">
        <f t="shared" si="2"/>
        <v>-0.00924505814405105</v>
      </c>
      <c r="E59" s="23">
        <v>0.04</v>
      </c>
      <c r="F59" s="2">
        <f t="shared" si="0"/>
        <v>0.000153846153846154</v>
      </c>
      <c r="G59" s="2">
        <f t="shared" si="3"/>
        <v>-0.0093989042978972</v>
      </c>
    </row>
    <row r="60" spans="1:7">
      <c r="A60" t="s">
        <v>51</v>
      </c>
      <c r="B60" s="22">
        <v>97000</v>
      </c>
      <c r="C60" s="2">
        <f t="shared" si="1"/>
        <v>0.00103199174406605</v>
      </c>
      <c r="D60" s="2">
        <f t="shared" si="2"/>
        <v>0.00103145960666221</v>
      </c>
      <c r="E60" s="23">
        <v>0.03992</v>
      </c>
      <c r="F60" s="2">
        <f t="shared" si="0"/>
        <v>0.000153538461538462</v>
      </c>
      <c r="G60" s="2">
        <f t="shared" si="3"/>
        <v>0.000877921145123751</v>
      </c>
    </row>
    <row r="61" spans="1:7">
      <c r="A61" t="s">
        <v>52</v>
      </c>
      <c r="B61" s="22">
        <v>95000</v>
      </c>
      <c r="C61" s="2">
        <f t="shared" si="1"/>
        <v>-0.0206185567010309</v>
      </c>
      <c r="D61" s="2">
        <f t="shared" si="2"/>
        <v>-0.020834086902842</v>
      </c>
      <c r="E61" s="23">
        <v>0.04004</v>
      </c>
      <c r="F61" s="2">
        <f t="shared" si="0"/>
        <v>0.000154</v>
      </c>
      <c r="G61" s="2">
        <f t="shared" si="3"/>
        <v>-0.020988086902842</v>
      </c>
    </row>
    <row r="62" spans="1:7">
      <c r="A62" t="s">
        <v>53</v>
      </c>
      <c r="B62" s="22">
        <v>93900</v>
      </c>
      <c r="C62" s="2">
        <f t="shared" si="1"/>
        <v>-0.0115789473684211</v>
      </c>
      <c r="D62" s="2">
        <f t="shared" si="2"/>
        <v>-0.0116465053863236</v>
      </c>
      <c r="E62" s="23">
        <v>0.04004</v>
      </c>
      <c r="F62" s="2">
        <f t="shared" si="0"/>
        <v>0.000154</v>
      </c>
      <c r="G62" s="2">
        <f t="shared" si="3"/>
        <v>-0.0118005053863236</v>
      </c>
    </row>
    <row r="63" spans="1:7">
      <c r="A63" t="s">
        <v>54</v>
      </c>
      <c r="B63" s="22">
        <v>93300</v>
      </c>
      <c r="C63" s="2">
        <f t="shared" si="1"/>
        <v>-0.00638977635782748</v>
      </c>
      <c r="D63" s="2">
        <f t="shared" si="2"/>
        <v>-0.00641027836091905</v>
      </c>
      <c r="E63" s="23">
        <v>0.04005</v>
      </c>
      <c r="F63" s="2">
        <f t="shared" si="0"/>
        <v>0.000154038461538462</v>
      </c>
      <c r="G63" s="2">
        <f t="shared" si="3"/>
        <v>-0.00656431682245752</v>
      </c>
    </row>
    <row r="64" spans="1:7">
      <c r="A64" s="21">
        <v>46002</v>
      </c>
      <c r="B64" s="22">
        <v>94000</v>
      </c>
      <c r="C64" s="2">
        <f t="shared" si="1"/>
        <v>0.007502679528403</v>
      </c>
      <c r="D64" s="2">
        <f t="shared" si="2"/>
        <v>0.00747467441670575</v>
      </c>
      <c r="E64" s="23">
        <v>0.03991</v>
      </c>
      <c r="F64" s="2">
        <f t="shared" si="0"/>
        <v>0.0001535</v>
      </c>
      <c r="G64" s="2">
        <f t="shared" si="3"/>
        <v>0.00732117441670575</v>
      </c>
    </row>
    <row r="65" spans="1:7">
      <c r="A65" s="21">
        <v>45972</v>
      </c>
      <c r="B65" s="22">
        <v>90000</v>
      </c>
      <c r="C65" s="2">
        <f t="shared" si="1"/>
        <v>-0.0425531914893617</v>
      </c>
      <c r="D65" s="2">
        <f t="shared" si="2"/>
        <v>-0.0434851119397388</v>
      </c>
      <c r="E65" s="23">
        <v>0.03976</v>
      </c>
      <c r="F65" s="2">
        <f t="shared" si="0"/>
        <v>0.000152923076923077</v>
      </c>
      <c r="G65" s="2">
        <f t="shared" si="3"/>
        <v>-0.0436380350166619</v>
      </c>
    </row>
    <row r="66" spans="1:7">
      <c r="A66" s="21">
        <v>45941</v>
      </c>
      <c r="B66" s="22">
        <v>86900</v>
      </c>
      <c r="C66" s="2">
        <f t="shared" si="1"/>
        <v>-0.0344444444444444</v>
      </c>
      <c r="D66" s="2">
        <f t="shared" si="2"/>
        <v>-0.0350516380589188</v>
      </c>
      <c r="E66" s="23">
        <v>0.03987</v>
      </c>
      <c r="F66" s="2">
        <f t="shared" si="0"/>
        <v>0.000153346153846154</v>
      </c>
      <c r="G66" s="2">
        <f t="shared" si="3"/>
        <v>-0.0352049842127649</v>
      </c>
    </row>
    <row r="67" spans="1:7">
      <c r="A67" s="21">
        <v>45849</v>
      </c>
      <c r="B67" s="22">
        <v>92000</v>
      </c>
      <c r="C67" s="2">
        <f t="shared" si="1"/>
        <v>0.0586881472957422</v>
      </c>
      <c r="D67" s="2">
        <f t="shared" si="2"/>
        <v>0.0570305447776941</v>
      </c>
      <c r="E67" s="23">
        <v>0.03978</v>
      </c>
      <c r="F67" s="2">
        <f t="shared" ref="F67:F130" si="4">E67/260</f>
        <v>0.000153</v>
      </c>
      <c r="G67" s="2">
        <f t="shared" si="3"/>
        <v>0.0568775447776941</v>
      </c>
    </row>
    <row r="68" spans="1:7">
      <c r="A68" s="21">
        <v>45819</v>
      </c>
      <c r="B68" s="22">
        <v>98900</v>
      </c>
      <c r="C68" s="2">
        <f t="shared" ref="C68:C131" si="5">(B68-B67)/B67</f>
        <v>0.075</v>
      </c>
      <c r="D68" s="2">
        <f t="shared" ref="D68:D131" si="6">LN(B68/B67)</f>
        <v>0.0723206615796261</v>
      </c>
      <c r="E68" s="23">
        <v>0.03976</v>
      </c>
      <c r="F68" s="2">
        <f t="shared" si="4"/>
        <v>0.000152923076923077</v>
      </c>
      <c r="G68" s="2">
        <f t="shared" ref="G68:G131" si="7">D68-F68</f>
        <v>0.072167738502703</v>
      </c>
    </row>
    <row r="69" spans="1:7">
      <c r="A69" s="21">
        <v>45788</v>
      </c>
      <c r="B69" s="22">
        <v>99600</v>
      </c>
      <c r="C69" s="2">
        <f t="shared" si="5"/>
        <v>0.0070778564206269</v>
      </c>
      <c r="D69" s="2">
        <f t="shared" si="6"/>
        <v>0.00705292596188608</v>
      </c>
      <c r="E69" s="23">
        <v>0.03969</v>
      </c>
      <c r="F69" s="2">
        <f t="shared" si="4"/>
        <v>0.000152653846153846</v>
      </c>
      <c r="G69" s="2">
        <f t="shared" si="7"/>
        <v>0.00690027211573224</v>
      </c>
    </row>
    <row r="70" spans="1:7">
      <c r="A70" s="21">
        <v>45758</v>
      </c>
      <c r="B70" s="22">
        <v>100200</v>
      </c>
      <c r="C70" s="2">
        <f t="shared" si="5"/>
        <v>0.00602409638554217</v>
      </c>
      <c r="D70" s="2">
        <f t="shared" si="6"/>
        <v>0.00600602406021195</v>
      </c>
      <c r="E70" s="23">
        <v>0.03965</v>
      </c>
      <c r="F70" s="2">
        <f t="shared" si="4"/>
        <v>0.0001525</v>
      </c>
      <c r="G70" s="2">
        <f t="shared" si="7"/>
        <v>0.00585352406021195</v>
      </c>
    </row>
    <row r="71" spans="1:7">
      <c r="A71" s="21">
        <v>45727</v>
      </c>
      <c r="B71" s="22">
        <v>98500</v>
      </c>
      <c r="C71" s="2">
        <f t="shared" si="5"/>
        <v>-0.0169660678642715</v>
      </c>
      <c r="D71" s="2">
        <f t="shared" si="6"/>
        <v>-0.0171116404727212</v>
      </c>
      <c r="E71" s="23">
        <v>0.03964</v>
      </c>
      <c r="F71" s="2">
        <f t="shared" si="4"/>
        <v>0.000152461538461538</v>
      </c>
      <c r="G71" s="2">
        <f t="shared" si="7"/>
        <v>-0.0172641020111828</v>
      </c>
    </row>
    <row r="72" spans="1:7">
      <c r="A72" t="s">
        <v>55</v>
      </c>
      <c r="B72" s="22">
        <v>99200</v>
      </c>
      <c r="C72" s="2">
        <f t="shared" si="5"/>
        <v>0.00710659898477157</v>
      </c>
      <c r="D72" s="2">
        <f t="shared" si="6"/>
        <v>0.00708146611278395</v>
      </c>
      <c r="E72" s="23">
        <v>0.03954</v>
      </c>
      <c r="F72" s="2">
        <f t="shared" si="4"/>
        <v>0.000152076923076923</v>
      </c>
      <c r="G72" s="2">
        <f t="shared" si="7"/>
        <v>0.00692938918970703</v>
      </c>
    </row>
    <row r="73" spans="1:7">
      <c r="A73" t="s">
        <v>56</v>
      </c>
      <c r="B73" s="22">
        <v>104000</v>
      </c>
      <c r="C73" s="2">
        <f t="shared" si="5"/>
        <v>0.0483870967741935</v>
      </c>
      <c r="D73" s="2">
        <f t="shared" si="6"/>
        <v>0.0472528848505455</v>
      </c>
      <c r="E73" s="23">
        <v>0.03937</v>
      </c>
      <c r="F73" s="2">
        <f t="shared" si="4"/>
        <v>0.000151423076923077</v>
      </c>
      <c r="G73" s="2">
        <f t="shared" si="7"/>
        <v>0.0471014617736224</v>
      </c>
    </row>
    <row r="74" spans="1:7">
      <c r="A74" t="s">
        <v>57</v>
      </c>
      <c r="B74" s="22">
        <v>103800</v>
      </c>
      <c r="C74" s="2">
        <f t="shared" si="5"/>
        <v>-0.00192307692307692</v>
      </c>
      <c r="D74" s="2">
        <f t="shared" si="6"/>
        <v>-0.00192492840958439</v>
      </c>
      <c r="E74" s="23">
        <v>0.03923</v>
      </c>
      <c r="F74" s="2">
        <f t="shared" si="4"/>
        <v>0.000150884615384615</v>
      </c>
      <c r="G74" s="2">
        <f t="shared" si="7"/>
        <v>-0.00207581302496901</v>
      </c>
    </row>
    <row r="75" spans="1:7">
      <c r="A75" t="s">
        <v>58</v>
      </c>
      <c r="B75" s="22">
        <v>107000</v>
      </c>
      <c r="C75" s="2">
        <f t="shared" si="5"/>
        <v>0.0308285163776493</v>
      </c>
      <c r="D75" s="2">
        <f t="shared" si="6"/>
        <v>0.030362863730118</v>
      </c>
      <c r="E75" s="23">
        <v>0.03922</v>
      </c>
      <c r="F75" s="2">
        <f t="shared" si="4"/>
        <v>0.000150846153846154</v>
      </c>
      <c r="G75" s="2">
        <f t="shared" si="7"/>
        <v>0.0302120175762718</v>
      </c>
    </row>
    <row r="76" spans="1:7">
      <c r="A76" t="s">
        <v>59</v>
      </c>
      <c r="B76" s="22">
        <v>106500</v>
      </c>
      <c r="C76" s="2">
        <f t="shared" si="5"/>
        <v>-0.00467289719626168</v>
      </c>
      <c r="D76" s="2">
        <f t="shared" si="6"/>
        <v>-0.00468384931242631</v>
      </c>
      <c r="E76" s="23">
        <v>0.03919</v>
      </c>
      <c r="F76" s="2">
        <f t="shared" si="4"/>
        <v>0.000150730769230769</v>
      </c>
      <c r="G76" s="2">
        <f t="shared" si="7"/>
        <v>-0.00483458008165708</v>
      </c>
    </row>
    <row r="77" spans="1:7">
      <c r="A77" t="s">
        <v>60</v>
      </c>
      <c r="B77" s="22">
        <v>114500</v>
      </c>
      <c r="C77" s="2">
        <f t="shared" si="5"/>
        <v>0.0751173708920188</v>
      </c>
      <c r="D77" s="2">
        <f t="shared" si="6"/>
        <v>0.0724298378448145</v>
      </c>
      <c r="E77" s="23">
        <v>0.03917</v>
      </c>
      <c r="F77" s="2">
        <f t="shared" si="4"/>
        <v>0.000150653846153846</v>
      </c>
      <c r="G77" s="2">
        <f t="shared" si="7"/>
        <v>0.0722791839986607</v>
      </c>
    </row>
    <row r="78" spans="1:7">
      <c r="A78" t="s">
        <v>61</v>
      </c>
      <c r="B78" s="22">
        <v>115000</v>
      </c>
      <c r="C78" s="2">
        <f t="shared" si="5"/>
        <v>0.00436681222707424</v>
      </c>
      <c r="D78" s="2">
        <f t="shared" si="6"/>
        <v>0.00435730536895563</v>
      </c>
      <c r="E78" s="23">
        <v>0.03913</v>
      </c>
      <c r="F78" s="2">
        <f t="shared" si="4"/>
        <v>0.0001505</v>
      </c>
      <c r="G78" s="2">
        <f t="shared" si="7"/>
        <v>0.00420680536895563</v>
      </c>
    </row>
    <row r="79" spans="1:7">
      <c r="A79" t="s">
        <v>62</v>
      </c>
      <c r="B79" s="22">
        <v>113000</v>
      </c>
      <c r="C79" s="2">
        <f t="shared" si="5"/>
        <v>-0.0173913043478261</v>
      </c>
      <c r="D79" s="2">
        <f t="shared" si="6"/>
        <v>-0.0175443096509095</v>
      </c>
      <c r="E79" s="23">
        <v>0.03907</v>
      </c>
      <c r="F79" s="2">
        <f t="shared" si="4"/>
        <v>0.000150269230769231</v>
      </c>
      <c r="G79" s="2">
        <f t="shared" si="7"/>
        <v>-0.0176945788816787</v>
      </c>
    </row>
    <row r="80" spans="1:7">
      <c r="A80" t="s">
        <v>63</v>
      </c>
      <c r="B80" s="22">
        <v>110900</v>
      </c>
      <c r="C80" s="2">
        <f t="shared" si="5"/>
        <v>-0.0185840707964602</v>
      </c>
      <c r="D80" s="2">
        <f t="shared" si="6"/>
        <v>-0.0187589243560192</v>
      </c>
      <c r="E80" s="23">
        <v>0.03897</v>
      </c>
      <c r="F80" s="2">
        <f t="shared" si="4"/>
        <v>0.000149884615384615</v>
      </c>
      <c r="G80" s="2">
        <f t="shared" si="7"/>
        <v>-0.0189088089714038</v>
      </c>
    </row>
    <row r="81" spans="1:7">
      <c r="A81" t="s">
        <v>64</v>
      </c>
      <c r="B81" s="22">
        <v>108000</v>
      </c>
      <c r="C81" s="2">
        <f t="shared" si="5"/>
        <v>-0.0261496844003607</v>
      </c>
      <c r="D81" s="2">
        <f t="shared" si="6"/>
        <v>-0.0264976672321017</v>
      </c>
      <c r="E81" s="23">
        <v>0.03898</v>
      </c>
      <c r="F81" s="2">
        <f t="shared" si="4"/>
        <v>0.000149923076923077</v>
      </c>
      <c r="G81" s="2">
        <f t="shared" si="7"/>
        <v>-0.0266475903090247</v>
      </c>
    </row>
    <row r="82" spans="1:7">
      <c r="A82" t="s">
        <v>65</v>
      </c>
      <c r="B82" s="22">
        <v>116000</v>
      </c>
      <c r="C82" s="2">
        <f t="shared" si="5"/>
        <v>0.0740740740740741</v>
      </c>
      <c r="D82" s="2">
        <f t="shared" si="6"/>
        <v>0.071458963982145</v>
      </c>
      <c r="E82" s="23">
        <v>0.03876</v>
      </c>
      <c r="F82" s="2">
        <f t="shared" si="4"/>
        <v>0.000149076923076923</v>
      </c>
      <c r="G82" s="2">
        <f t="shared" si="7"/>
        <v>0.0713098870590681</v>
      </c>
    </row>
    <row r="83" spans="1:7">
      <c r="A83" t="s">
        <v>66</v>
      </c>
      <c r="B83" s="22">
        <v>122000</v>
      </c>
      <c r="C83" s="2">
        <f t="shared" si="5"/>
        <v>0.0517241379310345</v>
      </c>
      <c r="D83" s="2">
        <f t="shared" si="6"/>
        <v>0.0504308536268919</v>
      </c>
      <c r="E83" s="23">
        <v>0.03887</v>
      </c>
      <c r="F83" s="2">
        <f t="shared" si="4"/>
        <v>0.0001495</v>
      </c>
      <c r="G83" s="2">
        <f t="shared" si="7"/>
        <v>0.0502813536268919</v>
      </c>
    </row>
    <row r="84" spans="1:7">
      <c r="A84" t="s">
        <v>67</v>
      </c>
      <c r="B84" s="22">
        <v>124000</v>
      </c>
      <c r="C84" s="2">
        <f t="shared" si="5"/>
        <v>0.0163934426229508</v>
      </c>
      <c r="D84" s="2">
        <f t="shared" si="6"/>
        <v>0.0162605208717803</v>
      </c>
      <c r="E84" s="23">
        <v>0.03863</v>
      </c>
      <c r="F84" s="2">
        <f t="shared" si="4"/>
        <v>0.000148576923076923</v>
      </c>
      <c r="G84" s="2">
        <f t="shared" si="7"/>
        <v>0.0161119439487034</v>
      </c>
    </row>
    <row r="85" spans="1:7">
      <c r="A85" t="s">
        <v>68</v>
      </c>
      <c r="B85" s="22">
        <v>127000</v>
      </c>
      <c r="C85" s="2">
        <f t="shared" si="5"/>
        <v>0.0241935483870968</v>
      </c>
      <c r="D85" s="2">
        <f t="shared" si="6"/>
        <v>0.0239055208535544</v>
      </c>
      <c r="E85" s="23">
        <v>0.03847</v>
      </c>
      <c r="F85" s="2">
        <f t="shared" si="4"/>
        <v>0.000147961538461538</v>
      </c>
      <c r="G85" s="2">
        <f t="shared" si="7"/>
        <v>0.0237575593150928</v>
      </c>
    </row>
    <row r="86" spans="1:7">
      <c r="A86" t="s">
        <v>69</v>
      </c>
      <c r="B86" s="22">
        <v>124200</v>
      </c>
      <c r="C86" s="2">
        <f t="shared" si="5"/>
        <v>-0.0220472440944882</v>
      </c>
      <c r="D86" s="2">
        <f t="shared" si="6"/>
        <v>-0.0222939169592129</v>
      </c>
      <c r="E86" s="23">
        <v>0.0386</v>
      </c>
      <c r="F86" s="2">
        <f t="shared" si="4"/>
        <v>0.000148461538461538</v>
      </c>
      <c r="G86" s="2">
        <f t="shared" si="7"/>
        <v>-0.0224423784976744</v>
      </c>
    </row>
    <row r="87" spans="1:7">
      <c r="A87" s="21">
        <v>45940</v>
      </c>
      <c r="B87" s="22">
        <v>123000</v>
      </c>
      <c r="C87" s="2">
        <f t="shared" si="5"/>
        <v>-0.00966183574879227</v>
      </c>
      <c r="D87" s="2">
        <f t="shared" si="6"/>
        <v>-0.00970881412696094</v>
      </c>
      <c r="E87" s="23">
        <v>0.03854</v>
      </c>
      <c r="F87" s="2">
        <f t="shared" si="4"/>
        <v>0.000148230769230769</v>
      </c>
      <c r="G87" s="2">
        <f t="shared" si="7"/>
        <v>-0.00985704489619171</v>
      </c>
    </row>
    <row r="88" spans="1:7">
      <c r="A88" s="21">
        <v>45910</v>
      </c>
      <c r="B88" s="22">
        <v>115000</v>
      </c>
      <c r="C88" s="2">
        <f t="shared" si="5"/>
        <v>-0.0650406504065041</v>
      </c>
      <c r="D88" s="2">
        <f t="shared" si="6"/>
        <v>-0.0672522270091675</v>
      </c>
      <c r="E88" s="23">
        <v>0.03841</v>
      </c>
      <c r="F88" s="2">
        <f t="shared" si="4"/>
        <v>0.000147730769230769</v>
      </c>
      <c r="G88" s="2">
        <f t="shared" si="7"/>
        <v>-0.0673999577783982</v>
      </c>
    </row>
    <row r="89" spans="1:7">
      <c r="A89" s="21">
        <v>45879</v>
      </c>
      <c r="B89" s="22">
        <v>107500</v>
      </c>
      <c r="C89" s="2">
        <f t="shared" si="5"/>
        <v>-0.0652173913043478</v>
      </c>
      <c r="D89" s="2">
        <f t="shared" si="6"/>
        <v>-0.0674412807955325</v>
      </c>
      <c r="E89" s="23">
        <v>0.03799</v>
      </c>
      <c r="F89" s="2">
        <f t="shared" si="4"/>
        <v>0.000146115384615385</v>
      </c>
      <c r="G89" s="2">
        <f t="shared" si="7"/>
        <v>-0.0675873961801479</v>
      </c>
    </row>
    <row r="90" spans="1:7">
      <c r="A90" s="21">
        <v>45848</v>
      </c>
      <c r="B90" s="22">
        <v>103100</v>
      </c>
      <c r="C90" s="2">
        <f t="shared" si="5"/>
        <v>-0.0409302325581395</v>
      </c>
      <c r="D90" s="2">
        <f t="shared" si="6"/>
        <v>-0.0417914565448033</v>
      </c>
      <c r="E90" s="23">
        <v>0.03801</v>
      </c>
      <c r="F90" s="2">
        <f t="shared" si="4"/>
        <v>0.000146192307692308</v>
      </c>
      <c r="G90" s="2">
        <f t="shared" si="7"/>
        <v>-0.0419376488524956</v>
      </c>
    </row>
    <row r="91" spans="1:7">
      <c r="A91" s="21">
        <v>45818</v>
      </c>
      <c r="B91" s="22">
        <v>102700</v>
      </c>
      <c r="C91" s="2">
        <f t="shared" si="5"/>
        <v>-0.00387972841901067</v>
      </c>
      <c r="D91" s="2">
        <f t="shared" si="6"/>
        <v>-0.00388727408840166</v>
      </c>
      <c r="E91" s="23">
        <v>0.038</v>
      </c>
      <c r="F91" s="2">
        <f t="shared" si="4"/>
        <v>0.000146153846153846</v>
      </c>
      <c r="G91" s="2">
        <f t="shared" si="7"/>
        <v>-0.0040334279345555</v>
      </c>
    </row>
    <row r="92" spans="1:7">
      <c r="A92" s="21">
        <v>45726</v>
      </c>
      <c r="B92" s="22">
        <v>100000</v>
      </c>
      <c r="C92" s="2">
        <f t="shared" si="5"/>
        <v>-0.0262901655306719</v>
      </c>
      <c r="D92" s="2">
        <f t="shared" si="6"/>
        <v>-0.0266419309464212</v>
      </c>
      <c r="E92" s="23">
        <v>0.0379</v>
      </c>
      <c r="F92" s="2">
        <f t="shared" si="4"/>
        <v>0.000145769230769231</v>
      </c>
      <c r="G92" s="2">
        <f t="shared" si="7"/>
        <v>-0.0267877001771904</v>
      </c>
    </row>
    <row r="93" spans="1:7">
      <c r="A93" s="21">
        <v>45698</v>
      </c>
      <c r="B93" s="22">
        <v>98600</v>
      </c>
      <c r="C93" s="2">
        <f t="shared" si="5"/>
        <v>-0.014</v>
      </c>
      <c r="D93" s="2">
        <f t="shared" si="6"/>
        <v>-0.0140989243795016</v>
      </c>
      <c r="E93" s="23">
        <v>0.0379</v>
      </c>
      <c r="F93" s="2">
        <f t="shared" si="4"/>
        <v>0.000145769230769231</v>
      </c>
      <c r="G93" s="2">
        <f t="shared" si="7"/>
        <v>-0.0142446936102709</v>
      </c>
    </row>
    <row r="94" spans="1:7">
      <c r="A94" s="21">
        <v>45667</v>
      </c>
      <c r="B94" s="22">
        <v>101200</v>
      </c>
      <c r="C94" s="2">
        <f t="shared" si="5"/>
        <v>0.026369168356998</v>
      </c>
      <c r="D94" s="2">
        <f t="shared" si="6"/>
        <v>0.0260274952447755</v>
      </c>
      <c r="E94" s="23">
        <v>0.03761</v>
      </c>
      <c r="F94" s="2">
        <f t="shared" si="4"/>
        <v>0.000144653846153846</v>
      </c>
      <c r="G94" s="2">
        <f t="shared" si="7"/>
        <v>0.0258828413986216</v>
      </c>
    </row>
    <row r="95" spans="1:7">
      <c r="A95" t="s">
        <v>70</v>
      </c>
      <c r="B95" s="22">
        <v>103000</v>
      </c>
      <c r="C95" s="2">
        <f t="shared" si="5"/>
        <v>0.0177865612648221</v>
      </c>
      <c r="D95" s="2">
        <f t="shared" si="6"/>
        <v>0.0176302313762705</v>
      </c>
      <c r="E95" s="23">
        <v>0.03761</v>
      </c>
      <c r="F95" s="2">
        <f t="shared" si="4"/>
        <v>0.000144653846153846</v>
      </c>
      <c r="G95" s="2">
        <f t="shared" si="7"/>
        <v>0.0174855775301167</v>
      </c>
    </row>
    <row r="96" spans="1:7">
      <c r="A96" t="s">
        <v>71</v>
      </c>
      <c r="B96" s="22">
        <v>101900</v>
      </c>
      <c r="C96" s="2">
        <f t="shared" si="5"/>
        <v>-0.0106796116504854</v>
      </c>
      <c r="D96" s="2">
        <f t="shared" si="6"/>
        <v>-0.0107370480009567</v>
      </c>
      <c r="E96" s="23">
        <v>0.03761</v>
      </c>
      <c r="F96" s="2">
        <f t="shared" si="4"/>
        <v>0.000144653846153846</v>
      </c>
      <c r="G96" s="2">
        <f t="shared" si="7"/>
        <v>-0.0108817018471105</v>
      </c>
    </row>
    <row r="97" spans="1:7">
      <c r="A97" t="s">
        <v>72</v>
      </c>
      <c r="B97" s="22">
        <v>99000</v>
      </c>
      <c r="C97" s="2">
        <f t="shared" si="5"/>
        <v>-0.028459273797841</v>
      </c>
      <c r="D97" s="2">
        <f t="shared" si="6"/>
        <v>-0.0288720900940891</v>
      </c>
      <c r="E97" s="23">
        <v>0.03759</v>
      </c>
      <c r="F97" s="2">
        <f t="shared" si="4"/>
        <v>0.000144576923076923</v>
      </c>
      <c r="G97" s="2">
        <f t="shared" si="7"/>
        <v>-0.0290166670171661</v>
      </c>
    </row>
    <row r="98" spans="1:7">
      <c r="A98" t="s">
        <v>73</v>
      </c>
      <c r="B98" s="22">
        <v>99500</v>
      </c>
      <c r="C98" s="2">
        <f t="shared" si="5"/>
        <v>0.00505050505050505</v>
      </c>
      <c r="D98" s="2">
        <f t="shared" si="6"/>
        <v>0.00503779402995708</v>
      </c>
      <c r="E98" s="23">
        <v>0.0375</v>
      </c>
      <c r="F98" s="2">
        <f t="shared" si="4"/>
        <v>0.000144230769230769</v>
      </c>
      <c r="G98" s="2">
        <f t="shared" si="7"/>
        <v>0.00489356326072631</v>
      </c>
    </row>
    <row r="99" spans="1:7">
      <c r="A99" t="s">
        <v>74</v>
      </c>
      <c r="B99" s="22">
        <v>98000</v>
      </c>
      <c r="C99" s="2">
        <f t="shared" si="5"/>
        <v>-0.0150753768844221</v>
      </c>
      <c r="D99" s="2">
        <f t="shared" si="6"/>
        <v>-0.0151901654939751</v>
      </c>
      <c r="E99" s="23">
        <v>0.03707</v>
      </c>
      <c r="F99" s="2">
        <f t="shared" si="4"/>
        <v>0.000142576923076923</v>
      </c>
      <c r="G99" s="2">
        <f t="shared" si="7"/>
        <v>-0.015332742417052</v>
      </c>
    </row>
    <row r="100" spans="1:7">
      <c r="A100" t="s">
        <v>75</v>
      </c>
      <c r="B100" s="22">
        <v>98700</v>
      </c>
      <c r="C100" s="2">
        <f t="shared" si="5"/>
        <v>0.00714285714285714</v>
      </c>
      <c r="D100" s="2">
        <f t="shared" si="6"/>
        <v>0.00711746776886395</v>
      </c>
      <c r="E100" s="23">
        <v>0.03707</v>
      </c>
      <c r="F100" s="2">
        <f t="shared" si="4"/>
        <v>0.000142576923076923</v>
      </c>
      <c r="G100" s="2">
        <f t="shared" si="7"/>
        <v>0.00697489084578703</v>
      </c>
    </row>
    <row r="101" spans="1:7">
      <c r="A101" t="s">
        <v>76</v>
      </c>
      <c r="B101" s="22">
        <v>99500</v>
      </c>
      <c r="C101" s="2">
        <f t="shared" si="5"/>
        <v>0.00810536980749747</v>
      </c>
      <c r="D101" s="2">
        <f t="shared" si="6"/>
        <v>0.00807269772511126</v>
      </c>
      <c r="E101" s="23">
        <v>0.03707</v>
      </c>
      <c r="F101" s="2">
        <f t="shared" si="4"/>
        <v>0.000142576923076923</v>
      </c>
      <c r="G101" s="2">
        <f t="shared" si="7"/>
        <v>0.00793012080203434</v>
      </c>
    </row>
    <row r="102" spans="1:7">
      <c r="A102" t="s">
        <v>77</v>
      </c>
      <c r="B102" s="22">
        <v>101700</v>
      </c>
      <c r="C102" s="2">
        <f t="shared" si="5"/>
        <v>0.0221105527638191</v>
      </c>
      <c r="D102" s="2">
        <f t="shared" si="6"/>
        <v>0.0218696588899671</v>
      </c>
      <c r="E102" s="23">
        <v>0.03704</v>
      </c>
      <c r="F102" s="2">
        <f t="shared" si="4"/>
        <v>0.000142461538461538</v>
      </c>
      <c r="G102" s="2">
        <f t="shared" si="7"/>
        <v>0.0217271973515056</v>
      </c>
    </row>
    <row r="103" spans="1:7">
      <c r="A103" t="s">
        <v>78</v>
      </c>
      <c r="B103" s="22">
        <v>103500</v>
      </c>
      <c r="C103" s="2">
        <f t="shared" si="5"/>
        <v>0.0176991150442478</v>
      </c>
      <c r="D103" s="2">
        <f t="shared" si="6"/>
        <v>0.0175443096509095</v>
      </c>
      <c r="E103" s="23">
        <v>0.03697</v>
      </c>
      <c r="F103" s="2">
        <f t="shared" si="4"/>
        <v>0.000142192307692308</v>
      </c>
      <c r="G103" s="2">
        <f t="shared" si="7"/>
        <v>0.0174021173432172</v>
      </c>
    </row>
    <row r="104" spans="1:7">
      <c r="A104" t="s">
        <v>79</v>
      </c>
      <c r="B104" s="22">
        <v>102900</v>
      </c>
      <c r="C104" s="2">
        <f t="shared" si="5"/>
        <v>-0.00579710144927536</v>
      </c>
      <c r="D104" s="2">
        <f t="shared" si="6"/>
        <v>-0.00581396986541984</v>
      </c>
      <c r="E104" s="23">
        <v>0.03689</v>
      </c>
      <c r="F104" s="2">
        <f t="shared" si="4"/>
        <v>0.000141884615384615</v>
      </c>
      <c r="G104" s="2">
        <f t="shared" si="7"/>
        <v>-0.00595585448080446</v>
      </c>
    </row>
    <row r="105" spans="1:7">
      <c r="A105" t="s">
        <v>80</v>
      </c>
      <c r="B105" s="22">
        <v>102700</v>
      </c>
      <c r="C105" s="2">
        <f t="shared" si="5"/>
        <v>-0.00194363459669582</v>
      </c>
      <c r="D105" s="2">
        <f t="shared" si="6"/>
        <v>-0.00194552590549133</v>
      </c>
      <c r="E105" s="23">
        <v>0.0369</v>
      </c>
      <c r="F105" s="2">
        <f t="shared" si="4"/>
        <v>0.000141923076923077</v>
      </c>
      <c r="G105" s="2">
        <f t="shared" si="7"/>
        <v>-0.00208744898241441</v>
      </c>
    </row>
    <row r="106" spans="1:7">
      <c r="A106" t="s">
        <v>81</v>
      </c>
      <c r="B106" s="22">
        <v>104500</v>
      </c>
      <c r="C106" s="2">
        <f t="shared" si="5"/>
        <v>0.0175267770204479</v>
      </c>
      <c r="D106" s="2">
        <f t="shared" si="6"/>
        <v>0.0173749544703532</v>
      </c>
      <c r="E106" s="23">
        <v>0.0369</v>
      </c>
      <c r="F106" s="2">
        <f t="shared" si="4"/>
        <v>0.000141923076923077</v>
      </c>
      <c r="G106" s="2">
        <f t="shared" si="7"/>
        <v>0.0172330313934301</v>
      </c>
    </row>
    <row r="107" spans="1:7">
      <c r="A107" s="21">
        <v>46000</v>
      </c>
      <c r="B107" s="22">
        <v>105500</v>
      </c>
      <c r="C107" s="2">
        <f t="shared" si="5"/>
        <v>0.00956937799043062</v>
      </c>
      <c r="D107" s="2">
        <f t="shared" si="6"/>
        <v>0.00952388151125554</v>
      </c>
      <c r="E107" s="23">
        <v>0.03695</v>
      </c>
      <c r="F107" s="2">
        <f t="shared" si="4"/>
        <v>0.000142115384615385</v>
      </c>
      <c r="G107" s="2">
        <f t="shared" si="7"/>
        <v>0.00938176612664016</v>
      </c>
    </row>
    <row r="108" spans="1:7">
      <c r="A108" s="21">
        <v>45970</v>
      </c>
      <c r="B108" s="22">
        <v>105900</v>
      </c>
      <c r="C108" s="2">
        <f t="shared" si="5"/>
        <v>0.0037914691943128</v>
      </c>
      <c r="D108" s="2">
        <f t="shared" si="6"/>
        <v>0.00378429969123963</v>
      </c>
      <c r="E108" s="23">
        <v>0.03689</v>
      </c>
      <c r="F108" s="2">
        <f t="shared" si="4"/>
        <v>0.000141884615384615</v>
      </c>
      <c r="G108" s="2">
        <f t="shared" si="7"/>
        <v>0.00364241507585501</v>
      </c>
    </row>
    <row r="109" spans="1:7">
      <c r="A109" s="21">
        <v>45939</v>
      </c>
      <c r="B109" s="22">
        <v>101800</v>
      </c>
      <c r="C109" s="2">
        <f t="shared" si="5"/>
        <v>-0.0387157695939566</v>
      </c>
      <c r="D109" s="2">
        <f t="shared" si="6"/>
        <v>-0.0394851484909385</v>
      </c>
      <c r="E109" s="23">
        <v>0.0368</v>
      </c>
      <c r="F109" s="2">
        <f t="shared" si="4"/>
        <v>0.000141538461538462</v>
      </c>
      <c r="G109" s="2">
        <f t="shared" si="7"/>
        <v>-0.0396266869524769</v>
      </c>
    </row>
    <row r="110" spans="1:7">
      <c r="A110" s="21">
        <v>45909</v>
      </c>
      <c r="B110" s="22">
        <v>101400</v>
      </c>
      <c r="C110" s="2">
        <f t="shared" si="5"/>
        <v>-0.00392927308447937</v>
      </c>
      <c r="D110" s="2">
        <f t="shared" si="6"/>
        <v>-0.00393701295933953</v>
      </c>
      <c r="E110" s="23">
        <v>0.0367</v>
      </c>
      <c r="F110" s="2">
        <f t="shared" si="4"/>
        <v>0.000141153846153846</v>
      </c>
      <c r="G110" s="2">
        <f t="shared" si="7"/>
        <v>-0.00407816680549338</v>
      </c>
    </row>
    <row r="111" spans="1:7">
      <c r="A111" s="21">
        <v>45878</v>
      </c>
      <c r="B111" s="22">
        <v>100000</v>
      </c>
      <c r="C111" s="2">
        <f t="shared" si="5"/>
        <v>-0.0138067061143984</v>
      </c>
      <c r="D111" s="2">
        <f t="shared" si="6"/>
        <v>-0.0139029051689914</v>
      </c>
      <c r="E111" s="23">
        <v>0.03664</v>
      </c>
      <c r="F111" s="2">
        <f t="shared" si="4"/>
        <v>0.000140923076923077</v>
      </c>
      <c r="G111" s="2">
        <f t="shared" si="7"/>
        <v>-0.0140438282459145</v>
      </c>
    </row>
    <row r="112" spans="1:7">
      <c r="A112" s="21">
        <v>45786</v>
      </c>
      <c r="B112" s="22">
        <v>100000</v>
      </c>
      <c r="C112" s="2">
        <f t="shared" si="5"/>
        <v>0</v>
      </c>
      <c r="D112" s="2">
        <f t="shared" si="6"/>
        <v>0</v>
      </c>
      <c r="E112" s="23">
        <v>0.03664</v>
      </c>
      <c r="F112" s="2">
        <f t="shared" si="4"/>
        <v>0.000140923076923077</v>
      </c>
      <c r="G112" s="2">
        <f t="shared" si="7"/>
        <v>-0.000140923076923077</v>
      </c>
    </row>
    <row r="113" spans="1:7">
      <c r="A113" s="21">
        <v>45756</v>
      </c>
      <c r="B113" s="22">
        <v>102300</v>
      </c>
      <c r="C113" s="2">
        <f t="shared" si="5"/>
        <v>0.023</v>
      </c>
      <c r="D113" s="2">
        <f t="shared" si="6"/>
        <v>0.0227394869694893</v>
      </c>
      <c r="E113" s="23">
        <v>0.03693</v>
      </c>
      <c r="F113" s="2">
        <f t="shared" si="4"/>
        <v>0.000142038461538462</v>
      </c>
      <c r="G113" s="2">
        <f t="shared" si="7"/>
        <v>0.0225974485079509</v>
      </c>
    </row>
    <row r="114" spans="1:7">
      <c r="A114" s="21">
        <v>45725</v>
      </c>
      <c r="B114" s="22">
        <v>102700</v>
      </c>
      <c r="C114" s="2">
        <f t="shared" si="5"/>
        <v>0.00391006842619746</v>
      </c>
      <c r="D114" s="2">
        <f t="shared" si="6"/>
        <v>0.00390244397693175</v>
      </c>
      <c r="E114" s="23">
        <v>0.03693</v>
      </c>
      <c r="F114" s="2">
        <f t="shared" si="4"/>
        <v>0.000142038461538462</v>
      </c>
      <c r="G114" s="2">
        <f t="shared" si="7"/>
        <v>0.00376040551539328</v>
      </c>
    </row>
    <row r="115" spans="1:7">
      <c r="A115" t="s">
        <v>82</v>
      </c>
      <c r="B115" s="22">
        <v>104500</v>
      </c>
      <c r="C115" s="2">
        <f t="shared" si="5"/>
        <v>0.0175267770204479</v>
      </c>
      <c r="D115" s="2">
        <f t="shared" si="6"/>
        <v>0.0173749544703532</v>
      </c>
      <c r="E115" s="23">
        <v>0.03689</v>
      </c>
      <c r="F115" s="2">
        <f t="shared" si="4"/>
        <v>0.000141884615384615</v>
      </c>
      <c r="G115" s="2">
        <f t="shared" si="7"/>
        <v>0.0172330698549685</v>
      </c>
    </row>
    <row r="116" spans="1:7">
      <c r="A116" t="s">
        <v>83</v>
      </c>
      <c r="B116" s="22">
        <v>104600</v>
      </c>
      <c r="C116" s="2">
        <f t="shared" si="5"/>
        <v>0.000956937799043062</v>
      </c>
      <c r="D116" s="2">
        <f t="shared" si="6"/>
        <v>0.000956480225956814</v>
      </c>
      <c r="E116" s="23">
        <v>0.03685</v>
      </c>
      <c r="F116" s="2">
        <f t="shared" si="4"/>
        <v>0.000141730769230769</v>
      </c>
      <c r="G116" s="2">
        <f t="shared" si="7"/>
        <v>0.000814749456726045</v>
      </c>
    </row>
    <row r="117" spans="1:7">
      <c r="A117" t="s">
        <v>84</v>
      </c>
      <c r="B117" s="22">
        <v>104600</v>
      </c>
      <c r="C117" s="2">
        <f t="shared" si="5"/>
        <v>0</v>
      </c>
      <c r="D117" s="2">
        <f t="shared" si="6"/>
        <v>0</v>
      </c>
      <c r="E117" s="23">
        <v>0.0369</v>
      </c>
      <c r="F117" s="2">
        <f t="shared" si="4"/>
        <v>0.000141923076923077</v>
      </c>
      <c r="G117" s="2">
        <f t="shared" si="7"/>
        <v>-0.000141923076923077</v>
      </c>
    </row>
    <row r="118" spans="1:7">
      <c r="A118" t="s">
        <v>85</v>
      </c>
      <c r="B118" s="22">
        <v>105200</v>
      </c>
      <c r="C118" s="2">
        <f t="shared" si="5"/>
        <v>0.00573613766730402</v>
      </c>
      <c r="D118" s="2">
        <f t="shared" si="6"/>
        <v>0.00571974867278691</v>
      </c>
      <c r="E118" s="23">
        <v>0.03689</v>
      </c>
      <c r="F118" s="2">
        <f t="shared" si="4"/>
        <v>0.000141884615384615</v>
      </c>
      <c r="G118" s="2">
        <f t="shared" si="7"/>
        <v>0.00557786405740229</v>
      </c>
    </row>
    <row r="119" spans="1:7">
      <c r="A119" t="s">
        <v>86</v>
      </c>
      <c r="B119" s="22">
        <v>98400</v>
      </c>
      <c r="C119" s="2">
        <f t="shared" si="5"/>
        <v>-0.064638783269962</v>
      </c>
      <c r="D119" s="2">
        <f t="shared" si="6"/>
        <v>-0.0668224962454017</v>
      </c>
      <c r="E119" s="23">
        <v>0.03676</v>
      </c>
      <c r="F119" s="2">
        <f t="shared" si="4"/>
        <v>0.000141384615384615</v>
      </c>
      <c r="G119" s="2">
        <f t="shared" si="7"/>
        <v>-0.0669638808607864</v>
      </c>
    </row>
    <row r="120" spans="1:7">
      <c r="A120" t="s">
        <v>87</v>
      </c>
      <c r="B120" s="22">
        <v>98100</v>
      </c>
      <c r="C120" s="2">
        <f t="shared" si="5"/>
        <v>-0.00304878048780488</v>
      </c>
      <c r="D120" s="2">
        <f t="shared" si="6"/>
        <v>-0.00305343748689034</v>
      </c>
      <c r="E120" s="23">
        <v>0.03672</v>
      </c>
      <c r="F120" s="2">
        <f t="shared" si="4"/>
        <v>0.000141230769230769</v>
      </c>
      <c r="G120" s="2">
        <f t="shared" si="7"/>
        <v>-0.00319466825612111</v>
      </c>
    </row>
    <row r="121" spans="1:7">
      <c r="A121" t="s">
        <v>88</v>
      </c>
      <c r="B121" s="22">
        <v>99800</v>
      </c>
      <c r="C121" s="2">
        <f t="shared" si="5"/>
        <v>0.017329255861366</v>
      </c>
      <c r="D121" s="2">
        <f t="shared" si="6"/>
        <v>0.017180816746101</v>
      </c>
      <c r="E121" s="23">
        <v>0.03619</v>
      </c>
      <c r="F121" s="2">
        <f t="shared" si="4"/>
        <v>0.000139192307692308</v>
      </c>
      <c r="G121" s="2">
        <f t="shared" si="7"/>
        <v>0.0170416244384087</v>
      </c>
    </row>
    <row r="122" spans="1:7">
      <c r="A122" t="s">
        <v>89</v>
      </c>
      <c r="B122" s="22">
        <v>99000</v>
      </c>
      <c r="C122" s="2">
        <f t="shared" si="5"/>
        <v>-0.00801603206412826</v>
      </c>
      <c r="D122" s="2">
        <f t="shared" si="6"/>
        <v>-0.00804833318282837</v>
      </c>
      <c r="E122" s="23">
        <v>0.03561</v>
      </c>
      <c r="F122" s="2">
        <f t="shared" si="4"/>
        <v>0.000136961538461538</v>
      </c>
      <c r="G122" s="2">
        <f t="shared" si="7"/>
        <v>-0.00818529472128991</v>
      </c>
    </row>
    <row r="123" spans="1:7">
      <c r="A123" t="s">
        <v>90</v>
      </c>
      <c r="B123" s="22">
        <v>93900</v>
      </c>
      <c r="C123" s="2">
        <f t="shared" si="5"/>
        <v>-0.0515151515151515</v>
      </c>
      <c r="D123" s="2">
        <f t="shared" si="6"/>
        <v>-0.0528894639203727</v>
      </c>
      <c r="E123" s="23">
        <v>0.03563</v>
      </c>
      <c r="F123" s="2">
        <f t="shared" si="4"/>
        <v>0.000137038461538462</v>
      </c>
      <c r="G123" s="2">
        <f t="shared" si="7"/>
        <v>-0.0530265023819112</v>
      </c>
    </row>
    <row r="124" spans="1:7">
      <c r="A124" t="s">
        <v>91</v>
      </c>
      <c r="B124" s="22">
        <v>93900</v>
      </c>
      <c r="C124" s="2">
        <f t="shared" si="5"/>
        <v>0</v>
      </c>
      <c r="D124" s="2">
        <f t="shared" si="6"/>
        <v>0</v>
      </c>
      <c r="E124" s="23">
        <v>0.03555</v>
      </c>
      <c r="F124" s="2">
        <f t="shared" si="4"/>
        <v>0.000136730769230769</v>
      </c>
      <c r="G124" s="2">
        <f t="shared" si="7"/>
        <v>-0.000136730769230769</v>
      </c>
    </row>
    <row r="125" spans="1:7">
      <c r="A125" t="s">
        <v>92</v>
      </c>
      <c r="B125" s="22">
        <v>94000</v>
      </c>
      <c r="C125" s="2">
        <f t="shared" si="5"/>
        <v>0.00106496272630458</v>
      </c>
      <c r="D125" s="2">
        <f t="shared" si="6"/>
        <v>0.00106439605578672</v>
      </c>
      <c r="E125" s="23">
        <v>0.0356</v>
      </c>
      <c r="F125" s="2">
        <f t="shared" si="4"/>
        <v>0.000136923076923077</v>
      </c>
      <c r="G125" s="2">
        <f t="shared" si="7"/>
        <v>0.000927472978863646</v>
      </c>
    </row>
    <row r="126" spans="1:7">
      <c r="A126" t="s">
        <v>93</v>
      </c>
      <c r="B126" s="22">
        <v>93900</v>
      </c>
      <c r="C126" s="2">
        <f t="shared" si="5"/>
        <v>-0.00106382978723404</v>
      </c>
      <c r="D126" s="2">
        <f t="shared" si="6"/>
        <v>-0.0010643960557867</v>
      </c>
      <c r="E126" s="23">
        <v>0.03551</v>
      </c>
      <c r="F126" s="2">
        <f t="shared" si="4"/>
        <v>0.000136576923076923</v>
      </c>
      <c r="G126" s="2">
        <f t="shared" si="7"/>
        <v>-0.00120097297886362</v>
      </c>
    </row>
    <row r="127" spans="1:7">
      <c r="A127" t="s">
        <v>94</v>
      </c>
      <c r="B127" s="22">
        <v>93000</v>
      </c>
      <c r="C127" s="2">
        <f t="shared" si="5"/>
        <v>-0.00958466453674121</v>
      </c>
      <c r="D127" s="2">
        <f t="shared" si="6"/>
        <v>-0.0096308930609613</v>
      </c>
      <c r="E127" s="23">
        <v>0.03503</v>
      </c>
      <c r="F127" s="2">
        <f t="shared" si="4"/>
        <v>0.000134730769230769</v>
      </c>
      <c r="G127" s="2">
        <f t="shared" si="7"/>
        <v>-0.00976562383019207</v>
      </c>
    </row>
    <row r="128" spans="1:7">
      <c r="A128" s="21">
        <v>45999</v>
      </c>
      <c r="B128" s="22">
        <v>93000</v>
      </c>
      <c r="C128" s="2">
        <f t="shared" si="5"/>
        <v>0</v>
      </c>
      <c r="D128" s="2">
        <f t="shared" si="6"/>
        <v>0</v>
      </c>
      <c r="E128" s="23">
        <v>0.03497</v>
      </c>
      <c r="F128" s="2">
        <f t="shared" si="4"/>
        <v>0.0001345</v>
      </c>
      <c r="G128" s="2">
        <f t="shared" si="7"/>
        <v>-0.0001345</v>
      </c>
    </row>
    <row r="129" spans="1:7">
      <c r="A129" s="21">
        <v>45969</v>
      </c>
      <c r="B129" s="22">
        <v>93500</v>
      </c>
      <c r="C129" s="2">
        <f t="shared" si="5"/>
        <v>0.00537634408602151</v>
      </c>
      <c r="D129" s="2">
        <f t="shared" si="6"/>
        <v>0.00536194314138537</v>
      </c>
      <c r="E129" s="23">
        <v>0.03496</v>
      </c>
      <c r="F129" s="2">
        <f t="shared" si="4"/>
        <v>0.000134461538461538</v>
      </c>
      <c r="G129" s="2">
        <f t="shared" si="7"/>
        <v>0.00522748160292383</v>
      </c>
    </row>
    <row r="130" spans="1:7">
      <c r="A130" s="21">
        <v>45877</v>
      </c>
      <c r="B130" s="22">
        <v>94800</v>
      </c>
      <c r="C130" s="2">
        <f t="shared" si="5"/>
        <v>0.013903743315508</v>
      </c>
      <c r="D130" s="2">
        <f t="shared" si="6"/>
        <v>0.0138079729663348</v>
      </c>
      <c r="E130" s="23">
        <v>0.03492</v>
      </c>
      <c r="F130" s="2">
        <f t="shared" si="4"/>
        <v>0.000134307692307692</v>
      </c>
      <c r="G130" s="2">
        <f t="shared" si="7"/>
        <v>0.0136736652740271</v>
      </c>
    </row>
    <row r="131" spans="1:7">
      <c r="A131" s="21">
        <v>45846</v>
      </c>
      <c r="B131" s="22">
        <v>95000</v>
      </c>
      <c r="C131" s="2">
        <f t="shared" si="5"/>
        <v>0.00210970464135021</v>
      </c>
      <c r="D131" s="2">
        <f t="shared" si="6"/>
        <v>0.0021074823395648</v>
      </c>
      <c r="E131" s="23">
        <v>0.03503</v>
      </c>
      <c r="F131" s="2">
        <f t="shared" ref="F131:F194" si="8">E131/260</f>
        <v>0.000134730769230769</v>
      </c>
      <c r="G131" s="2">
        <f t="shared" si="7"/>
        <v>0.00197275157033403</v>
      </c>
    </row>
    <row r="132" spans="1:7">
      <c r="A132" s="21">
        <v>45816</v>
      </c>
      <c r="B132" s="22">
        <v>97500</v>
      </c>
      <c r="C132" s="2">
        <f t="shared" ref="C132:C195" si="9">(B132-B131)/B131</f>
        <v>0.0263157894736842</v>
      </c>
      <c r="D132" s="2">
        <f t="shared" ref="D132:D195" si="10">LN(B132/B131)</f>
        <v>0.0259754864032607</v>
      </c>
      <c r="E132" s="23">
        <v>0.03469</v>
      </c>
      <c r="F132" s="2">
        <f t="shared" si="8"/>
        <v>0.000133423076923077</v>
      </c>
      <c r="G132" s="2">
        <f t="shared" ref="G132:G195" si="11">D132-F132</f>
        <v>0.0258420633263377</v>
      </c>
    </row>
    <row r="133" spans="1:7">
      <c r="A133" s="21">
        <v>45785</v>
      </c>
      <c r="B133" s="22">
        <v>96000</v>
      </c>
      <c r="C133" s="2">
        <f t="shared" si="9"/>
        <v>-0.0153846153846154</v>
      </c>
      <c r="D133" s="2">
        <f t="shared" si="10"/>
        <v>-0.0155041865359652</v>
      </c>
      <c r="E133" s="23">
        <v>0.03462</v>
      </c>
      <c r="F133" s="2">
        <f t="shared" si="8"/>
        <v>0.000133153846153846</v>
      </c>
      <c r="G133" s="2">
        <f t="shared" si="11"/>
        <v>-0.015637340382119</v>
      </c>
    </row>
    <row r="134" spans="1:7">
      <c r="A134" s="21">
        <v>45755</v>
      </c>
      <c r="B134" s="22">
        <v>92200</v>
      </c>
      <c r="C134" s="2">
        <f t="shared" si="9"/>
        <v>-0.0395833333333333</v>
      </c>
      <c r="D134" s="2">
        <f t="shared" si="10"/>
        <v>-0.0403880609052881</v>
      </c>
      <c r="E134" s="23">
        <v>0.03462</v>
      </c>
      <c r="F134" s="2">
        <f t="shared" si="8"/>
        <v>0.000133153846153846</v>
      </c>
      <c r="G134" s="2">
        <f t="shared" si="11"/>
        <v>-0.0405212147514419</v>
      </c>
    </row>
    <row r="135" spans="1:7">
      <c r="A135" s="21">
        <v>45665</v>
      </c>
      <c r="B135" s="22">
        <v>89900</v>
      </c>
      <c r="C135" s="2">
        <f t="shared" si="9"/>
        <v>-0.0249457700650759</v>
      </c>
      <c r="D135" s="2">
        <f t="shared" si="10"/>
        <v>-0.0252621890849736</v>
      </c>
      <c r="E135" s="23">
        <v>0.03462</v>
      </c>
      <c r="F135" s="2">
        <f t="shared" si="8"/>
        <v>0.000133153846153846</v>
      </c>
      <c r="G135" s="2">
        <f t="shared" si="11"/>
        <v>-0.0253953429311274</v>
      </c>
    </row>
    <row r="136" spans="1:7">
      <c r="A136" t="s">
        <v>95</v>
      </c>
      <c r="B136" s="22">
        <v>90000</v>
      </c>
      <c r="C136" s="2">
        <f t="shared" si="9"/>
        <v>0.00111234705228031</v>
      </c>
      <c r="D136" s="2">
        <f t="shared" si="10"/>
        <v>0.00111172885269042</v>
      </c>
      <c r="E136" s="23">
        <v>0.03448</v>
      </c>
      <c r="F136" s="2">
        <f t="shared" si="8"/>
        <v>0.000132615384615385</v>
      </c>
      <c r="G136" s="2">
        <f t="shared" si="11"/>
        <v>0.000979113468075031</v>
      </c>
    </row>
    <row r="137" spans="1:7">
      <c r="A137" t="s">
        <v>96</v>
      </c>
      <c r="B137" s="22">
        <v>91500</v>
      </c>
      <c r="C137" s="2">
        <f t="shared" si="9"/>
        <v>0.0166666666666667</v>
      </c>
      <c r="D137" s="2">
        <f t="shared" si="10"/>
        <v>0.0165293019512105</v>
      </c>
      <c r="E137" s="23">
        <v>0.03441</v>
      </c>
      <c r="F137" s="2">
        <f t="shared" si="8"/>
        <v>0.000132346153846154</v>
      </c>
      <c r="G137" s="2">
        <f t="shared" si="11"/>
        <v>0.0163969557973644</v>
      </c>
    </row>
    <row r="138" spans="1:7">
      <c r="A138" t="s">
        <v>97</v>
      </c>
      <c r="B138" s="22">
        <v>92100</v>
      </c>
      <c r="C138" s="2">
        <f t="shared" si="9"/>
        <v>0.00655737704918033</v>
      </c>
      <c r="D138" s="2">
        <f t="shared" si="10"/>
        <v>0.00653597097978545</v>
      </c>
      <c r="E138" s="23">
        <v>0.03428</v>
      </c>
      <c r="F138" s="2">
        <f t="shared" si="8"/>
        <v>0.000131846153846154</v>
      </c>
      <c r="G138" s="2">
        <f t="shared" si="11"/>
        <v>0.0064041248259393</v>
      </c>
    </row>
    <row r="139" spans="1:7">
      <c r="A139" t="s">
        <v>98</v>
      </c>
      <c r="B139" s="22">
        <v>95600</v>
      </c>
      <c r="C139" s="2">
        <f t="shared" si="9"/>
        <v>0.0380021715526602</v>
      </c>
      <c r="D139" s="2">
        <f t="shared" si="10"/>
        <v>0.0372978767960945</v>
      </c>
      <c r="E139" s="23">
        <v>0.03428</v>
      </c>
      <c r="F139" s="2">
        <f t="shared" si="8"/>
        <v>0.000131846153846154</v>
      </c>
      <c r="G139" s="2">
        <f t="shared" si="11"/>
        <v>0.0371660306422483</v>
      </c>
    </row>
    <row r="140" spans="1:7">
      <c r="A140" t="s">
        <v>99</v>
      </c>
      <c r="B140" s="22">
        <v>93700</v>
      </c>
      <c r="C140" s="2">
        <f t="shared" si="9"/>
        <v>-0.0198744769874477</v>
      </c>
      <c r="D140" s="2">
        <f t="shared" si="10"/>
        <v>-0.0200746308129791</v>
      </c>
      <c r="E140" s="23">
        <v>0.03434</v>
      </c>
      <c r="F140" s="2">
        <f t="shared" si="8"/>
        <v>0.000132076923076923</v>
      </c>
      <c r="G140" s="2">
        <f t="shared" si="11"/>
        <v>-0.020206707736056</v>
      </c>
    </row>
    <row r="141" spans="1:7">
      <c r="A141" t="s">
        <v>100</v>
      </c>
      <c r="B141" s="22">
        <v>92000</v>
      </c>
      <c r="C141" s="2">
        <f t="shared" si="9"/>
        <v>-0.0181430096051227</v>
      </c>
      <c r="D141" s="2">
        <f t="shared" si="10"/>
        <v>-0.0183096121953362</v>
      </c>
      <c r="E141" s="23">
        <v>0.03439</v>
      </c>
      <c r="F141" s="2">
        <f t="shared" si="8"/>
        <v>0.000132269230769231</v>
      </c>
      <c r="G141" s="2">
        <f t="shared" si="11"/>
        <v>-0.0184418814261054</v>
      </c>
    </row>
    <row r="142" spans="1:7">
      <c r="A142" t="s">
        <v>101</v>
      </c>
      <c r="B142" s="22">
        <v>92200</v>
      </c>
      <c r="C142" s="2">
        <f t="shared" si="9"/>
        <v>0.00217391304347826</v>
      </c>
      <c r="D142" s="2">
        <f t="shared" si="10"/>
        <v>0.00217155351350793</v>
      </c>
      <c r="E142" s="23">
        <v>0.03429</v>
      </c>
      <c r="F142" s="2">
        <f t="shared" si="8"/>
        <v>0.000131884615384615</v>
      </c>
      <c r="G142" s="2">
        <f t="shared" si="11"/>
        <v>0.00203966889812332</v>
      </c>
    </row>
    <row r="143" spans="1:7">
      <c r="A143" t="s">
        <v>102</v>
      </c>
      <c r="B143" s="22">
        <v>95500</v>
      </c>
      <c r="C143" s="2">
        <f t="shared" si="9"/>
        <v>0.0357917570498915</v>
      </c>
      <c r="D143" s="2">
        <f t="shared" si="10"/>
        <v>0.0351661169241365</v>
      </c>
      <c r="E143" s="23">
        <v>0.03402</v>
      </c>
      <c r="F143" s="2">
        <f t="shared" si="8"/>
        <v>0.000130846153846154</v>
      </c>
      <c r="G143" s="2">
        <f t="shared" si="11"/>
        <v>0.0350352707702903</v>
      </c>
    </row>
    <row r="144" spans="1:7">
      <c r="A144" t="s">
        <v>103</v>
      </c>
      <c r="B144" s="22">
        <v>92000</v>
      </c>
      <c r="C144" s="2">
        <f t="shared" si="9"/>
        <v>-0.0366492146596859</v>
      </c>
      <c r="D144" s="2">
        <f t="shared" si="10"/>
        <v>-0.0373376704376442</v>
      </c>
      <c r="E144" s="23">
        <v>0.034</v>
      </c>
      <c r="F144" s="2">
        <f t="shared" si="8"/>
        <v>0.000130769230769231</v>
      </c>
      <c r="G144" s="2">
        <f t="shared" si="11"/>
        <v>-0.0374684396684135</v>
      </c>
    </row>
    <row r="145" spans="1:7">
      <c r="A145" t="s">
        <v>104</v>
      </c>
      <c r="B145" s="22">
        <v>96000</v>
      </c>
      <c r="C145" s="2">
        <f t="shared" si="9"/>
        <v>0.0434782608695652</v>
      </c>
      <c r="D145" s="2">
        <f t="shared" si="10"/>
        <v>0.0425596144187959</v>
      </c>
      <c r="E145" s="23">
        <v>0.03398</v>
      </c>
      <c r="F145" s="2">
        <f t="shared" si="8"/>
        <v>0.000130692307692308</v>
      </c>
      <c r="G145" s="2">
        <f t="shared" si="11"/>
        <v>0.0424289221111036</v>
      </c>
    </row>
    <row r="146" spans="1:7">
      <c r="A146" t="s">
        <v>105</v>
      </c>
      <c r="B146" s="22">
        <v>94100</v>
      </c>
      <c r="C146" s="2">
        <f t="shared" si="9"/>
        <v>-0.0197916666666667</v>
      </c>
      <c r="D146" s="2">
        <f t="shared" si="10"/>
        <v>-0.0199901448765023</v>
      </c>
      <c r="E146" s="23">
        <v>0.03402</v>
      </c>
      <c r="F146" s="2">
        <f t="shared" si="8"/>
        <v>0.000130846153846154</v>
      </c>
      <c r="G146" s="2">
        <f t="shared" si="11"/>
        <v>-0.0201209910303484</v>
      </c>
    </row>
    <row r="147" spans="1:7">
      <c r="A147" t="s">
        <v>106</v>
      </c>
      <c r="B147" s="22">
        <v>88000</v>
      </c>
      <c r="C147" s="2">
        <f t="shared" si="9"/>
        <v>-0.0648246546227418</v>
      </c>
      <c r="D147" s="2">
        <f t="shared" si="10"/>
        <v>-0.0670212321131275</v>
      </c>
      <c r="E147" s="23">
        <v>0.03359</v>
      </c>
      <c r="F147" s="2">
        <f t="shared" si="8"/>
        <v>0.000129192307692308</v>
      </c>
      <c r="G147" s="2">
        <f t="shared" si="11"/>
        <v>-0.0671504244208198</v>
      </c>
    </row>
    <row r="148" spans="1:7">
      <c r="A148" t="s">
        <v>107</v>
      </c>
      <c r="B148" s="22">
        <v>87400</v>
      </c>
      <c r="C148" s="2">
        <f t="shared" si="9"/>
        <v>-0.00681818181818182</v>
      </c>
      <c r="D148" s="2">
        <f t="shared" si="10"/>
        <v>-0.00684153181671671</v>
      </c>
      <c r="E148" s="23">
        <v>0.03352</v>
      </c>
      <c r="F148" s="2">
        <f t="shared" si="8"/>
        <v>0.000128923076923077</v>
      </c>
      <c r="G148" s="2">
        <f t="shared" si="11"/>
        <v>-0.00697045489363979</v>
      </c>
    </row>
    <row r="149" spans="1:7">
      <c r="A149" t="s">
        <v>108</v>
      </c>
      <c r="B149" s="22">
        <v>88800</v>
      </c>
      <c r="C149" s="2">
        <f t="shared" si="9"/>
        <v>0.0160183066361556</v>
      </c>
      <c r="D149" s="2">
        <f t="shared" si="10"/>
        <v>0.0158913673366347</v>
      </c>
      <c r="E149" s="23">
        <v>0.0335</v>
      </c>
      <c r="F149" s="2">
        <f t="shared" si="8"/>
        <v>0.000128846153846154</v>
      </c>
      <c r="G149" s="2">
        <f t="shared" si="11"/>
        <v>0.0157625211827885</v>
      </c>
    </row>
    <row r="150" spans="1:7">
      <c r="A150" s="21">
        <v>45968</v>
      </c>
      <c r="B150" s="22">
        <v>87900</v>
      </c>
      <c r="C150" s="2">
        <f t="shared" si="9"/>
        <v>-0.0101351351351351</v>
      </c>
      <c r="D150" s="2">
        <f t="shared" si="10"/>
        <v>-0.010186845306993</v>
      </c>
      <c r="E150" s="23">
        <v>0.03352</v>
      </c>
      <c r="F150" s="2">
        <f t="shared" si="8"/>
        <v>0.000128923076923077</v>
      </c>
      <c r="G150" s="2">
        <f t="shared" si="11"/>
        <v>-0.0103157683839161</v>
      </c>
    </row>
    <row r="151" spans="1:7">
      <c r="A151" s="21">
        <v>45937</v>
      </c>
      <c r="B151" s="22">
        <v>86000</v>
      </c>
      <c r="C151" s="2">
        <f t="shared" si="9"/>
        <v>-0.0216154721274175</v>
      </c>
      <c r="D151" s="2">
        <f t="shared" si="10"/>
        <v>-0.0218525084376236</v>
      </c>
      <c r="E151" s="23">
        <v>0.03343</v>
      </c>
      <c r="F151" s="2">
        <f t="shared" si="8"/>
        <v>0.000128576923076923</v>
      </c>
      <c r="G151" s="2">
        <f t="shared" si="11"/>
        <v>-0.0219810853607005</v>
      </c>
    </row>
    <row r="152" spans="1:7">
      <c r="A152" s="21">
        <v>45907</v>
      </c>
      <c r="B152" s="22">
        <v>81800</v>
      </c>
      <c r="C152" s="2">
        <f t="shared" si="9"/>
        <v>-0.0488372093023256</v>
      </c>
      <c r="D152" s="2">
        <f t="shared" si="10"/>
        <v>-0.0500700526448064</v>
      </c>
      <c r="E152" s="23">
        <v>0.03342</v>
      </c>
      <c r="F152" s="2">
        <f t="shared" si="8"/>
        <v>0.000128538461538462</v>
      </c>
      <c r="G152" s="2">
        <f t="shared" si="11"/>
        <v>-0.0501985911063449</v>
      </c>
    </row>
    <row r="153" spans="1:7">
      <c r="A153" s="21">
        <v>45876</v>
      </c>
      <c r="B153" s="22">
        <v>79200</v>
      </c>
      <c r="C153" s="2">
        <f t="shared" si="9"/>
        <v>-0.0317848410757946</v>
      </c>
      <c r="D153" s="2">
        <f t="shared" si="10"/>
        <v>-0.0323009447883212</v>
      </c>
      <c r="E153" s="23">
        <v>0.03343</v>
      </c>
      <c r="F153" s="2">
        <f t="shared" si="8"/>
        <v>0.000128576923076923</v>
      </c>
      <c r="G153" s="2">
        <f t="shared" si="11"/>
        <v>-0.0324295217113981</v>
      </c>
    </row>
    <row r="154" spans="1:7">
      <c r="A154" s="21">
        <v>45845</v>
      </c>
      <c r="B154" s="22">
        <v>76900</v>
      </c>
      <c r="C154" s="2">
        <f t="shared" si="9"/>
        <v>-0.029040404040404</v>
      </c>
      <c r="D154" s="2">
        <f t="shared" si="10"/>
        <v>-0.0294704223087819</v>
      </c>
      <c r="E154" s="23">
        <v>0.03342</v>
      </c>
      <c r="F154" s="2">
        <f t="shared" si="8"/>
        <v>0.000128538461538462</v>
      </c>
      <c r="G154" s="2">
        <f t="shared" si="11"/>
        <v>-0.0295989607703204</v>
      </c>
    </row>
    <row r="155" spans="1:7">
      <c r="A155" s="21">
        <v>45754</v>
      </c>
      <c r="B155" s="22">
        <v>76000</v>
      </c>
      <c r="C155" s="2">
        <f t="shared" si="9"/>
        <v>-0.011703511053316</v>
      </c>
      <c r="D155" s="2">
        <f t="shared" si="10"/>
        <v>-0.0117725362252672</v>
      </c>
      <c r="E155" s="23">
        <v>0.03344</v>
      </c>
      <c r="F155" s="2">
        <f t="shared" si="8"/>
        <v>0.000128615384615385</v>
      </c>
      <c r="G155" s="2">
        <f t="shared" si="11"/>
        <v>-0.0119011516098826</v>
      </c>
    </row>
    <row r="156" spans="1:7">
      <c r="A156" s="21">
        <v>45723</v>
      </c>
      <c r="B156" s="22">
        <v>76300</v>
      </c>
      <c r="C156" s="2">
        <f t="shared" si="9"/>
        <v>0.00394736842105263</v>
      </c>
      <c r="D156" s="2">
        <f t="shared" si="10"/>
        <v>0.00393959800408031</v>
      </c>
      <c r="E156" s="23">
        <v>0.03343</v>
      </c>
      <c r="F156" s="2">
        <f t="shared" si="8"/>
        <v>0.000128576923076923</v>
      </c>
      <c r="G156" s="2">
        <f t="shared" si="11"/>
        <v>0.00381102108100339</v>
      </c>
    </row>
    <row r="157" spans="1:7">
      <c r="A157" s="21">
        <v>45695</v>
      </c>
      <c r="B157" s="22">
        <v>76000</v>
      </c>
      <c r="C157" s="2">
        <f t="shared" si="9"/>
        <v>-0.00393184796854522</v>
      </c>
      <c r="D157" s="2">
        <f t="shared" si="10"/>
        <v>-0.0039395980040802</v>
      </c>
      <c r="E157" s="23">
        <v>0.03342</v>
      </c>
      <c r="F157" s="2">
        <f t="shared" si="8"/>
        <v>0.000128538461538462</v>
      </c>
      <c r="G157" s="2">
        <f t="shared" si="11"/>
        <v>-0.00406813646561866</v>
      </c>
    </row>
    <row r="158" spans="1:7">
      <c r="A158" s="21">
        <v>45664</v>
      </c>
      <c r="B158" s="22">
        <v>76300</v>
      </c>
      <c r="C158" s="2">
        <f t="shared" si="9"/>
        <v>0.00394736842105263</v>
      </c>
      <c r="D158" s="2">
        <f t="shared" si="10"/>
        <v>0.00393959800408031</v>
      </c>
      <c r="E158" s="23">
        <v>0.03317</v>
      </c>
      <c r="F158" s="2">
        <f t="shared" si="8"/>
        <v>0.000127576923076923</v>
      </c>
      <c r="G158" s="2">
        <f t="shared" si="11"/>
        <v>0.00381202108100339</v>
      </c>
    </row>
    <row r="159" spans="1:7">
      <c r="A159" t="s">
        <v>109</v>
      </c>
      <c r="B159" s="22">
        <v>76700</v>
      </c>
      <c r="C159" s="2">
        <f t="shared" si="9"/>
        <v>0.00524246395806029</v>
      </c>
      <c r="D159" s="2">
        <f t="shared" si="10"/>
        <v>0.00522877008279928</v>
      </c>
      <c r="E159" s="23">
        <v>0.03335</v>
      </c>
      <c r="F159" s="2">
        <f t="shared" si="8"/>
        <v>0.000128269230769231</v>
      </c>
      <c r="G159" s="2">
        <f t="shared" si="11"/>
        <v>0.00510050085203005</v>
      </c>
    </row>
    <row r="160" spans="1:7">
      <c r="A160" t="s">
        <v>110</v>
      </c>
      <c r="B160" s="22">
        <v>77000</v>
      </c>
      <c r="C160" s="2">
        <f t="shared" si="9"/>
        <v>0.00391134289439374</v>
      </c>
      <c r="D160" s="2">
        <f t="shared" si="10"/>
        <v>0.00390371348047337</v>
      </c>
      <c r="E160" s="23">
        <v>0.03323</v>
      </c>
      <c r="F160" s="2">
        <f t="shared" si="8"/>
        <v>0.000127807692307692</v>
      </c>
      <c r="G160" s="2">
        <f t="shared" si="11"/>
        <v>0.00377590578816568</v>
      </c>
    </row>
    <row r="161" spans="1:7">
      <c r="A161" t="s">
        <v>111</v>
      </c>
      <c r="B161" s="22">
        <v>76000</v>
      </c>
      <c r="C161" s="2">
        <f t="shared" si="9"/>
        <v>-0.012987012987013</v>
      </c>
      <c r="D161" s="2">
        <f t="shared" si="10"/>
        <v>-0.0130720815673528</v>
      </c>
      <c r="E161" s="23">
        <v>0.03305</v>
      </c>
      <c r="F161" s="2">
        <f t="shared" si="8"/>
        <v>0.000127115384615385</v>
      </c>
      <c r="G161" s="2">
        <f t="shared" si="11"/>
        <v>-0.0131991969519682</v>
      </c>
    </row>
    <row r="162" spans="1:7">
      <c r="A162" t="s">
        <v>112</v>
      </c>
      <c r="B162" s="22">
        <v>77900</v>
      </c>
      <c r="C162" s="2">
        <f t="shared" si="9"/>
        <v>0.025</v>
      </c>
      <c r="D162" s="2">
        <f t="shared" si="10"/>
        <v>0.0246926125903714</v>
      </c>
      <c r="E162" s="23">
        <v>0.0331</v>
      </c>
      <c r="F162" s="2">
        <f t="shared" si="8"/>
        <v>0.000127307692307692</v>
      </c>
      <c r="G162" s="2">
        <f t="shared" si="11"/>
        <v>0.0245653048980637</v>
      </c>
    </row>
    <row r="163" spans="1:7">
      <c r="A163" t="s">
        <v>113</v>
      </c>
      <c r="B163" s="22">
        <v>77300</v>
      </c>
      <c r="C163" s="2">
        <f t="shared" si="9"/>
        <v>-0.00770218228498074</v>
      </c>
      <c r="D163" s="2">
        <f t="shared" si="10"/>
        <v>-0.00773199728332632</v>
      </c>
      <c r="E163" s="23">
        <v>0.03323</v>
      </c>
      <c r="F163" s="2">
        <f t="shared" si="8"/>
        <v>0.000127807692307692</v>
      </c>
      <c r="G163" s="2">
        <f t="shared" si="11"/>
        <v>-0.00785980497563401</v>
      </c>
    </row>
    <row r="164" spans="1:7">
      <c r="A164" t="s">
        <v>114</v>
      </c>
      <c r="B164" s="22">
        <v>74000</v>
      </c>
      <c r="C164" s="2">
        <f t="shared" si="9"/>
        <v>-0.0426908150064683</v>
      </c>
      <c r="D164" s="2">
        <f t="shared" si="10"/>
        <v>-0.0436288623892065</v>
      </c>
      <c r="E164" s="23">
        <v>0.03315</v>
      </c>
      <c r="F164" s="2">
        <f t="shared" si="8"/>
        <v>0.0001275</v>
      </c>
      <c r="G164" s="2">
        <f t="shared" si="11"/>
        <v>-0.0437563623892065</v>
      </c>
    </row>
    <row r="165" spans="1:7">
      <c r="A165" t="s">
        <v>115</v>
      </c>
      <c r="B165" s="22">
        <v>70200</v>
      </c>
      <c r="C165" s="2">
        <f t="shared" si="9"/>
        <v>-0.0513513513513514</v>
      </c>
      <c r="D165" s="2">
        <f t="shared" si="10"/>
        <v>-0.0527167821724044</v>
      </c>
      <c r="E165" s="23">
        <v>0.03307</v>
      </c>
      <c r="F165" s="2">
        <f t="shared" si="8"/>
        <v>0.000127192307692308</v>
      </c>
      <c r="G165" s="2">
        <f t="shared" si="11"/>
        <v>-0.0528439744800967</v>
      </c>
    </row>
    <row r="166" spans="1:7">
      <c r="A166" t="s">
        <v>116</v>
      </c>
      <c r="B166" s="22">
        <v>71700</v>
      </c>
      <c r="C166" s="2">
        <f t="shared" si="9"/>
        <v>0.0213675213675214</v>
      </c>
      <c r="D166" s="2">
        <f t="shared" si="10"/>
        <v>0.0211424365738092</v>
      </c>
      <c r="E166" s="23">
        <v>0.0329</v>
      </c>
      <c r="F166" s="2">
        <f t="shared" si="8"/>
        <v>0.000126538461538462</v>
      </c>
      <c r="G166" s="2">
        <f t="shared" si="11"/>
        <v>0.0210158981122707</v>
      </c>
    </row>
    <row r="167" spans="1:7">
      <c r="A167" t="s">
        <v>117</v>
      </c>
      <c r="B167" s="22">
        <v>71400</v>
      </c>
      <c r="C167" s="2">
        <f t="shared" si="9"/>
        <v>-0.00418410041841004</v>
      </c>
      <c r="D167" s="2">
        <f t="shared" si="10"/>
        <v>-0.00419287826003593</v>
      </c>
      <c r="E167" s="23">
        <v>0.03285</v>
      </c>
      <c r="F167" s="2">
        <f t="shared" si="8"/>
        <v>0.000126346153846154</v>
      </c>
      <c r="G167" s="2">
        <f t="shared" si="11"/>
        <v>-0.00431922441388208</v>
      </c>
    </row>
    <row r="168" spans="1:7">
      <c r="A168" t="s">
        <v>118</v>
      </c>
      <c r="B168" s="22">
        <v>69600</v>
      </c>
      <c r="C168" s="2">
        <f t="shared" si="9"/>
        <v>-0.0252100840336134</v>
      </c>
      <c r="D168" s="2">
        <f t="shared" si="10"/>
        <v>-0.0255333020051648</v>
      </c>
      <c r="E168" s="23">
        <v>0.03277</v>
      </c>
      <c r="F168" s="2">
        <f t="shared" si="8"/>
        <v>0.000126038461538462</v>
      </c>
      <c r="G168" s="2">
        <f t="shared" si="11"/>
        <v>-0.0256593404667032</v>
      </c>
    </row>
    <row r="169" spans="1:7">
      <c r="A169" t="s">
        <v>119</v>
      </c>
      <c r="B169" s="22">
        <v>67400</v>
      </c>
      <c r="C169" s="2">
        <f t="shared" si="9"/>
        <v>-0.0316091954022989</v>
      </c>
      <c r="D169" s="2">
        <f t="shared" si="10"/>
        <v>-0.0321195494221127</v>
      </c>
      <c r="E169" s="23">
        <v>0.03274</v>
      </c>
      <c r="F169" s="2">
        <f t="shared" si="8"/>
        <v>0.000125923076923077</v>
      </c>
      <c r="G169" s="2">
        <f t="shared" si="11"/>
        <v>-0.0322454724990357</v>
      </c>
    </row>
    <row r="170" spans="1:7">
      <c r="A170" t="s">
        <v>120</v>
      </c>
      <c r="B170" s="22">
        <v>68400</v>
      </c>
      <c r="C170" s="2">
        <f t="shared" si="9"/>
        <v>0.0148367952522255</v>
      </c>
      <c r="D170" s="2">
        <f t="shared" si="10"/>
        <v>0.0147278067102434</v>
      </c>
      <c r="E170" s="23">
        <v>0.0327</v>
      </c>
      <c r="F170" s="2">
        <f t="shared" si="8"/>
        <v>0.000125769230769231</v>
      </c>
      <c r="G170" s="2">
        <f t="shared" si="11"/>
        <v>0.0146020374794742</v>
      </c>
    </row>
    <row r="171" spans="1:7">
      <c r="A171" s="21">
        <v>45997</v>
      </c>
      <c r="B171" s="22">
        <v>70000</v>
      </c>
      <c r="C171" s="2">
        <f t="shared" si="9"/>
        <v>0.0233918128654971</v>
      </c>
      <c r="D171" s="2">
        <f t="shared" si="10"/>
        <v>0.0231224174208542</v>
      </c>
      <c r="E171" s="23">
        <v>0.03271</v>
      </c>
      <c r="F171" s="2">
        <f t="shared" si="8"/>
        <v>0.000125807692307692</v>
      </c>
      <c r="G171" s="2">
        <f t="shared" si="11"/>
        <v>0.0229966097285465</v>
      </c>
    </row>
    <row r="172" spans="1:7">
      <c r="A172" s="21">
        <v>45967</v>
      </c>
      <c r="B172" s="22">
        <v>72100</v>
      </c>
      <c r="C172" s="2">
        <f t="shared" si="9"/>
        <v>0.03</v>
      </c>
      <c r="D172" s="2">
        <f t="shared" si="10"/>
        <v>0.0295588022415444</v>
      </c>
      <c r="E172" s="23">
        <v>0.03268</v>
      </c>
      <c r="F172" s="2">
        <f t="shared" si="8"/>
        <v>0.000125692307692308</v>
      </c>
      <c r="G172" s="2">
        <f t="shared" si="11"/>
        <v>0.0294331099338521</v>
      </c>
    </row>
    <row r="173" spans="1:7">
      <c r="A173" s="21">
        <v>45936</v>
      </c>
      <c r="B173" s="22">
        <v>72600</v>
      </c>
      <c r="C173" s="2">
        <f t="shared" si="9"/>
        <v>0.00693481276005548</v>
      </c>
      <c r="D173" s="2">
        <f t="shared" si="10"/>
        <v>0.00691087753984701</v>
      </c>
      <c r="E173" s="23">
        <v>0.03269</v>
      </c>
      <c r="F173" s="2">
        <f t="shared" si="8"/>
        <v>0.000125730769230769</v>
      </c>
      <c r="G173" s="2">
        <f t="shared" si="11"/>
        <v>0.00678514677061624</v>
      </c>
    </row>
    <row r="174" spans="1:7">
      <c r="A174" s="21">
        <v>45906</v>
      </c>
      <c r="B174" s="22">
        <v>70700</v>
      </c>
      <c r="C174" s="2">
        <f t="shared" si="9"/>
        <v>-0.0261707988980716</v>
      </c>
      <c r="D174" s="2">
        <f t="shared" si="10"/>
        <v>-0.0265193489282233</v>
      </c>
      <c r="E174" s="23">
        <v>0.03263</v>
      </c>
      <c r="F174" s="2">
        <f t="shared" si="8"/>
        <v>0.0001255</v>
      </c>
      <c r="G174" s="2">
        <f t="shared" si="11"/>
        <v>-0.0266448489282233</v>
      </c>
    </row>
    <row r="175" spans="1:7">
      <c r="A175" s="21">
        <v>45814</v>
      </c>
      <c r="B175" s="22">
        <v>76000</v>
      </c>
      <c r="C175" s="2">
        <f t="shared" si="9"/>
        <v>0.074964639321075</v>
      </c>
      <c r="D175" s="2">
        <f t="shared" si="10"/>
        <v>0.072287767383804</v>
      </c>
      <c r="E175" s="23">
        <v>0.03252</v>
      </c>
      <c r="F175" s="2">
        <f t="shared" si="8"/>
        <v>0.000125076923076923</v>
      </c>
      <c r="G175" s="2">
        <f t="shared" si="11"/>
        <v>0.0721626904607271</v>
      </c>
    </row>
    <row r="176" spans="1:7">
      <c r="A176" s="21">
        <v>45783</v>
      </c>
      <c r="B176" s="22">
        <v>76800</v>
      </c>
      <c r="C176" s="2">
        <f t="shared" si="9"/>
        <v>0.0105263157894737</v>
      </c>
      <c r="D176" s="2">
        <f t="shared" si="10"/>
        <v>0.0104712998672954</v>
      </c>
      <c r="E176" s="23">
        <v>0.03259</v>
      </c>
      <c r="F176" s="2">
        <f t="shared" si="8"/>
        <v>0.000125346153846154</v>
      </c>
      <c r="G176" s="2">
        <f t="shared" si="11"/>
        <v>0.0103459537134493</v>
      </c>
    </row>
    <row r="177" spans="1:7">
      <c r="A177" s="21">
        <v>45753</v>
      </c>
      <c r="B177" s="22">
        <v>77100</v>
      </c>
      <c r="C177" s="2">
        <f t="shared" si="9"/>
        <v>0.00390625</v>
      </c>
      <c r="D177" s="2">
        <f t="shared" si="10"/>
        <v>0.00389864041565732</v>
      </c>
      <c r="E177" s="23">
        <v>0.03245</v>
      </c>
      <c r="F177" s="2">
        <f t="shared" si="8"/>
        <v>0.000124807692307692</v>
      </c>
      <c r="G177" s="2">
        <f t="shared" si="11"/>
        <v>0.00377383272334963</v>
      </c>
    </row>
    <row r="178" spans="1:7">
      <c r="A178" s="21">
        <v>45722</v>
      </c>
      <c r="B178" s="22">
        <v>77600</v>
      </c>
      <c r="C178" s="2">
        <f t="shared" si="9"/>
        <v>0.00648508430609598</v>
      </c>
      <c r="D178" s="2">
        <f t="shared" si="10"/>
        <v>0.00646414661988924</v>
      </c>
      <c r="E178" s="23">
        <v>0.03235</v>
      </c>
      <c r="F178" s="2">
        <f t="shared" si="8"/>
        <v>0.000124423076923077</v>
      </c>
      <c r="G178" s="2">
        <f t="shared" si="11"/>
        <v>0.00633972354296616</v>
      </c>
    </row>
    <row r="179" spans="1:7">
      <c r="A179" s="21">
        <v>45694</v>
      </c>
      <c r="B179" s="22">
        <v>77000</v>
      </c>
      <c r="C179" s="2">
        <f t="shared" si="9"/>
        <v>-0.0077319587628866</v>
      </c>
      <c r="D179" s="2">
        <f t="shared" si="10"/>
        <v>-0.00776200533548919</v>
      </c>
      <c r="E179" s="23">
        <v>0.03234</v>
      </c>
      <c r="F179" s="2">
        <f t="shared" si="8"/>
        <v>0.000124384615384615</v>
      </c>
      <c r="G179" s="2">
        <f t="shared" si="11"/>
        <v>-0.0078863899508738</v>
      </c>
    </row>
    <row r="180" spans="1:7">
      <c r="A180" t="s">
        <v>121</v>
      </c>
      <c r="B180" s="22">
        <v>77600</v>
      </c>
      <c r="C180" s="2">
        <f t="shared" si="9"/>
        <v>0.00779220779220779</v>
      </c>
      <c r="D180" s="2">
        <f t="shared" si="10"/>
        <v>0.00776200533548911</v>
      </c>
      <c r="E180" s="23">
        <v>0.0322</v>
      </c>
      <c r="F180" s="2">
        <f t="shared" si="8"/>
        <v>0.000123846153846154</v>
      </c>
      <c r="G180" s="2">
        <f t="shared" si="11"/>
        <v>0.00763815918164296</v>
      </c>
    </row>
    <row r="181" spans="1:7">
      <c r="A181" t="s">
        <v>122</v>
      </c>
      <c r="B181" s="22">
        <v>76900</v>
      </c>
      <c r="C181" s="2">
        <f t="shared" si="9"/>
        <v>-0.00902061855670103</v>
      </c>
      <c r="D181" s="2">
        <f t="shared" si="10"/>
        <v>-0.00906155067757474</v>
      </c>
      <c r="E181" s="23">
        <v>0.03208</v>
      </c>
      <c r="F181" s="2">
        <f t="shared" si="8"/>
        <v>0.000123384615384615</v>
      </c>
      <c r="G181" s="2">
        <f t="shared" si="11"/>
        <v>-0.00918493529295936</v>
      </c>
    </row>
    <row r="182" spans="1:7">
      <c r="A182" t="s">
        <v>123</v>
      </c>
      <c r="B182" s="22">
        <v>75700</v>
      </c>
      <c r="C182" s="2">
        <f t="shared" si="9"/>
        <v>-0.0156046814044213</v>
      </c>
      <c r="D182" s="2">
        <f t="shared" si="10"/>
        <v>-0.0157277160681952</v>
      </c>
      <c r="E182" s="23">
        <v>0.03197</v>
      </c>
      <c r="F182" s="2">
        <f t="shared" si="8"/>
        <v>0.000122961538461538</v>
      </c>
      <c r="G182" s="2">
        <f t="shared" si="11"/>
        <v>-0.0158506776066567</v>
      </c>
    </row>
    <row r="183" spans="1:7">
      <c r="A183" t="s">
        <v>124</v>
      </c>
      <c r="B183" s="22">
        <v>74300</v>
      </c>
      <c r="C183" s="2">
        <f t="shared" si="9"/>
        <v>-0.0184940554821664</v>
      </c>
      <c r="D183" s="2">
        <f t="shared" si="10"/>
        <v>-0.0186672087196896</v>
      </c>
      <c r="E183" s="23">
        <v>0.03203</v>
      </c>
      <c r="F183" s="2">
        <f t="shared" si="8"/>
        <v>0.000123192307692308</v>
      </c>
      <c r="G183" s="2">
        <f t="shared" si="11"/>
        <v>-0.0187904010273819</v>
      </c>
    </row>
    <row r="184" spans="1:7">
      <c r="A184" t="s">
        <v>125</v>
      </c>
      <c r="B184" s="22">
        <v>73500</v>
      </c>
      <c r="C184" s="2">
        <f t="shared" si="9"/>
        <v>-0.0107671601615074</v>
      </c>
      <c r="D184" s="2">
        <f t="shared" si="10"/>
        <v>-0.0108255455049224</v>
      </c>
      <c r="E184" s="23">
        <v>0.03197</v>
      </c>
      <c r="F184" s="2">
        <f t="shared" si="8"/>
        <v>0.000122961538461538</v>
      </c>
      <c r="G184" s="2">
        <f t="shared" si="11"/>
        <v>-0.010948507043384</v>
      </c>
    </row>
    <row r="185" spans="1:7">
      <c r="A185" t="s">
        <v>126</v>
      </c>
      <c r="B185" s="22">
        <v>68800</v>
      </c>
      <c r="C185" s="2">
        <f t="shared" si="9"/>
        <v>-0.0639455782312925</v>
      </c>
      <c r="D185" s="2">
        <f t="shared" si="10"/>
        <v>-0.066081661279493</v>
      </c>
      <c r="E185" s="23">
        <v>0.03174</v>
      </c>
      <c r="F185" s="2">
        <f t="shared" si="8"/>
        <v>0.000122076923076923</v>
      </c>
      <c r="G185" s="2">
        <f t="shared" si="11"/>
        <v>-0.06620373820257</v>
      </c>
    </row>
    <row r="186" spans="1:7">
      <c r="A186" t="s">
        <v>127</v>
      </c>
      <c r="B186" s="22">
        <v>68100</v>
      </c>
      <c r="C186" s="2">
        <f t="shared" si="9"/>
        <v>-0.0101744186046512</v>
      </c>
      <c r="D186" s="2">
        <f t="shared" si="10"/>
        <v>-0.0102265317838313</v>
      </c>
      <c r="E186" s="23">
        <v>0.03186</v>
      </c>
      <c r="F186" s="2">
        <f t="shared" si="8"/>
        <v>0.000122538461538462</v>
      </c>
      <c r="G186" s="2">
        <f t="shared" si="11"/>
        <v>-0.0103490702453698</v>
      </c>
    </row>
    <row r="187" spans="1:7">
      <c r="A187" t="s">
        <v>128</v>
      </c>
      <c r="B187" s="22">
        <v>67300</v>
      </c>
      <c r="C187" s="2">
        <f t="shared" si="9"/>
        <v>-0.0117474302496329</v>
      </c>
      <c r="D187" s="2">
        <f t="shared" si="10"/>
        <v>-0.0118169765047845</v>
      </c>
      <c r="E187" s="23">
        <v>0.0318</v>
      </c>
      <c r="F187" s="2">
        <f t="shared" si="8"/>
        <v>0.000122307692307692</v>
      </c>
      <c r="G187" s="2">
        <f t="shared" si="11"/>
        <v>-0.0119392841970922</v>
      </c>
    </row>
    <row r="188" spans="1:7">
      <c r="A188" t="s">
        <v>129</v>
      </c>
      <c r="B188" s="22">
        <v>62900</v>
      </c>
      <c r="C188" s="2">
        <f t="shared" si="9"/>
        <v>-0.0653789004457652</v>
      </c>
      <c r="D188" s="2">
        <f t="shared" si="10"/>
        <v>-0.0676140729442873</v>
      </c>
      <c r="E188" s="23">
        <v>0.03176</v>
      </c>
      <c r="F188" s="2">
        <f t="shared" si="8"/>
        <v>0.000122153846153846</v>
      </c>
      <c r="G188" s="2">
        <f t="shared" si="11"/>
        <v>-0.0677362267904411</v>
      </c>
    </row>
    <row r="189" spans="1:7">
      <c r="A189" t="s">
        <v>130</v>
      </c>
      <c r="B189" s="22">
        <v>58800</v>
      </c>
      <c r="C189" s="2">
        <f t="shared" si="9"/>
        <v>-0.0651828298887122</v>
      </c>
      <c r="D189" s="2">
        <f t="shared" si="10"/>
        <v>-0.0674043088018136</v>
      </c>
      <c r="E189" s="23">
        <v>0.03186</v>
      </c>
      <c r="F189" s="2">
        <f t="shared" si="8"/>
        <v>0.000122538461538462</v>
      </c>
      <c r="G189" s="2">
        <f t="shared" si="11"/>
        <v>-0.0675268472633521</v>
      </c>
    </row>
    <row r="190" spans="1:7">
      <c r="A190" t="s">
        <v>131</v>
      </c>
      <c r="B190" s="22">
        <v>58000</v>
      </c>
      <c r="C190" s="2">
        <f t="shared" si="9"/>
        <v>-0.0136054421768707</v>
      </c>
      <c r="D190" s="2">
        <f t="shared" si="10"/>
        <v>-0.0136988443581619</v>
      </c>
      <c r="E190" s="23">
        <v>0.03172</v>
      </c>
      <c r="F190" s="2">
        <f t="shared" si="8"/>
        <v>0.000122</v>
      </c>
      <c r="G190" s="2">
        <f t="shared" si="11"/>
        <v>-0.0138208443581619</v>
      </c>
    </row>
    <row r="191" spans="1:7">
      <c r="A191" t="s">
        <v>132</v>
      </c>
      <c r="B191" s="22">
        <v>58000</v>
      </c>
      <c r="C191" s="2">
        <f t="shared" si="9"/>
        <v>0</v>
      </c>
      <c r="D191" s="2">
        <f t="shared" si="10"/>
        <v>0</v>
      </c>
      <c r="E191" s="23">
        <v>0.03167</v>
      </c>
      <c r="F191" s="2">
        <f t="shared" si="8"/>
        <v>0.000121807692307692</v>
      </c>
      <c r="G191" s="2">
        <f t="shared" si="11"/>
        <v>-0.000121807692307692</v>
      </c>
    </row>
    <row r="192" spans="1:7">
      <c r="A192" t="s">
        <v>133</v>
      </c>
      <c r="B192" s="22">
        <v>60400</v>
      </c>
      <c r="C192" s="2">
        <f t="shared" si="9"/>
        <v>0.0413793103448276</v>
      </c>
      <c r="D192" s="2">
        <f t="shared" si="10"/>
        <v>0.04054609439435</v>
      </c>
      <c r="E192" s="23">
        <v>0.03183</v>
      </c>
      <c r="F192" s="2">
        <f t="shared" si="8"/>
        <v>0.000122423076923077</v>
      </c>
      <c r="G192" s="2">
        <f t="shared" si="11"/>
        <v>0.0404236713174269</v>
      </c>
    </row>
    <row r="193" spans="1:7">
      <c r="A193" t="s">
        <v>134</v>
      </c>
      <c r="B193" s="22">
        <v>62000</v>
      </c>
      <c r="C193" s="2">
        <f t="shared" si="9"/>
        <v>0.0264900662251656</v>
      </c>
      <c r="D193" s="2">
        <f t="shared" si="10"/>
        <v>0.0261452801043222</v>
      </c>
      <c r="E193" s="23">
        <v>0.03173</v>
      </c>
      <c r="F193" s="2">
        <f t="shared" si="8"/>
        <v>0.000122038461538462</v>
      </c>
      <c r="G193" s="2">
        <f t="shared" si="11"/>
        <v>0.0260232416427837</v>
      </c>
    </row>
    <row r="194" spans="1:7">
      <c r="A194" s="21">
        <v>45996</v>
      </c>
      <c r="B194" s="22">
        <v>62300</v>
      </c>
      <c r="C194" s="2">
        <f t="shared" si="9"/>
        <v>0.00483870967741936</v>
      </c>
      <c r="D194" s="2">
        <f t="shared" si="10"/>
        <v>0.00482704074831594</v>
      </c>
      <c r="E194" s="23">
        <v>0.03183</v>
      </c>
      <c r="F194" s="2">
        <f t="shared" si="8"/>
        <v>0.000122423076923077</v>
      </c>
      <c r="G194" s="2">
        <f t="shared" si="11"/>
        <v>0.00470461767139287</v>
      </c>
    </row>
    <row r="195" spans="1:7">
      <c r="A195" s="21">
        <v>45905</v>
      </c>
      <c r="B195" s="22">
        <v>62200</v>
      </c>
      <c r="C195" s="2">
        <f t="shared" si="9"/>
        <v>-0.00160513643659711</v>
      </c>
      <c r="D195" s="2">
        <f t="shared" si="10"/>
        <v>-0.00160642604827369</v>
      </c>
      <c r="E195" s="23">
        <v>0.03209</v>
      </c>
      <c r="F195" s="2">
        <f t="shared" ref="F195:F258" si="12">E195/260</f>
        <v>0.000123423076923077</v>
      </c>
      <c r="G195" s="2">
        <f t="shared" si="11"/>
        <v>-0.00172984912519676</v>
      </c>
    </row>
    <row r="196" spans="1:7">
      <c r="A196" s="21">
        <v>45874</v>
      </c>
      <c r="B196" s="22">
        <v>62200</v>
      </c>
      <c r="C196" s="2">
        <f t="shared" ref="C196:C259" si="13">(B196-B195)/B195</f>
        <v>0</v>
      </c>
      <c r="D196" s="2">
        <f t="shared" ref="D196:D259" si="14">LN(B196/B195)</f>
        <v>0</v>
      </c>
      <c r="E196" s="23">
        <v>0.0321</v>
      </c>
      <c r="F196" s="2">
        <f t="shared" si="12"/>
        <v>0.000123461538461538</v>
      </c>
      <c r="G196" s="2">
        <f t="shared" ref="G196:G259" si="15">D196-F196</f>
        <v>-0.000123461538461538</v>
      </c>
    </row>
    <row r="197" spans="1:7">
      <c r="A197" s="21">
        <v>45843</v>
      </c>
      <c r="B197" s="22">
        <v>62000</v>
      </c>
      <c r="C197" s="2">
        <f t="shared" si="13"/>
        <v>-0.00321543408360129</v>
      </c>
      <c r="D197" s="2">
        <f t="shared" si="14"/>
        <v>-0.00322061470004217</v>
      </c>
      <c r="E197" s="23">
        <v>0.03193</v>
      </c>
      <c r="F197" s="2">
        <f t="shared" si="12"/>
        <v>0.000122807692307692</v>
      </c>
      <c r="G197" s="2">
        <f t="shared" si="15"/>
        <v>-0.00334342239234986</v>
      </c>
    </row>
    <row r="198" spans="1:7">
      <c r="A198" s="21">
        <v>45813</v>
      </c>
      <c r="B198" s="22">
        <v>60900</v>
      </c>
      <c r="C198" s="2">
        <f t="shared" si="13"/>
        <v>-0.017741935483871</v>
      </c>
      <c r="D198" s="2">
        <f t="shared" si="14"/>
        <v>-0.0179012103292402</v>
      </c>
      <c r="E198" s="23">
        <v>0.03204</v>
      </c>
      <c r="F198" s="2">
        <f t="shared" si="12"/>
        <v>0.000123230769230769</v>
      </c>
      <c r="G198" s="2">
        <f t="shared" si="15"/>
        <v>-0.0180244410984709</v>
      </c>
    </row>
    <row r="199" spans="1:7">
      <c r="A199" s="21">
        <v>45782</v>
      </c>
      <c r="B199" s="22">
        <v>60900</v>
      </c>
      <c r="C199" s="2">
        <f t="shared" si="13"/>
        <v>0</v>
      </c>
      <c r="D199" s="2">
        <f t="shared" si="14"/>
        <v>0</v>
      </c>
      <c r="E199" s="23">
        <v>0.03211</v>
      </c>
      <c r="F199" s="2">
        <f t="shared" si="12"/>
        <v>0.0001235</v>
      </c>
      <c r="G199" s="2">
        <f t="shared" si="15"/>
        <v>-0.0001235</v>
      </c>
    </row>
    <row r="200" spans="1:7">
      <c r="A200" t="s">
        <v>135</v>
      </c>
      <c r="B200" s="22">
        <v>58400</v>
      </c>
      <c r="C200" s="2">
        <f t="shared" si="13"/>
        <v>-0.0410509031198686</v>
      </c>
      <c r="D200" s="2">
        <f t="shared" si="14"/>
        <v>-0.0419172848816699</v>
      </c>
      <c r="E200" s="23">
        <v>0.03196</v>
      </c>
      <c r="F200" s="2">
        <f t="shared" si="12"/>
        <v>0.000122923076923077</v>
      </c>
      <c r="G200" s="2">
        <f t="shared" si="15"/>
        <v>-0.042040207958593</v>
      </c>
    </row>
    <row r="201" spans="1:7">
      <c r="A201" t="s">
        <v>136</v>
      </c>
      <c r="B201" s="22">
        <v>58500</v>
      </c>
      <c r="C201" s="2">
        <f t="shared" si="13"/>
        <v>0.00171232876712329</v>
      </c>
      <c r="D201" s="2">
        <f t="shared" si="14"/>
        <v>0.00171086440362939</v>
      </c>
      <c r="E201" s="23">
        <v>0.03196</v>
      </c>
      <c r="F201" s="2">
        <f t="shared" si="12"/>
        <v>0.000122923076923077</v>
      </c>
      <c r="G201" s="2">
        <f t="shared" si="15"/>
        <v>0.00158794132670631</v>
      </c>
    </row>
    <row r="202" spans="1:7">
      <c r="A202" t="s">
        <v>137</v>
      </c>
      <c r="B202" s="22">
        <v>62300</v>
      </c>
      <c r="C202" s="2">
        <f t="shared" si="13"/>
        <v>0.064957264957265</v>
      </c>
      <c r="D202" s="2">
        <f t="shared" si="14"/>
        <v>0.0629346715555966</v>
      </c>
      <c r="E202" s="23">
        <v>0.03177</v>
      </c>
      <c r="F202" s="2">
        <f t="shared" si="12"/>
        <v>0.000122192307692308</v>
      </c>
      <c r="G202" s="2">
        <f t="shared" si="15"/>
        <v>0.0628124792479043</v>
      </c>
    </row>
    <row r="203" spans="1:7">
      <c r="A203" t="s">
        <v>138</v>
      </c>
      <c r="B203" s="22">
        <v>61200</v>
      </c>
      <c r="C203" s="2">
        <f t="shared" si="13"/>
        <v>-0.0176565008025682</v>
      </c>
      <c r="D203" s="2">
        <f t="shared" si="14"/>
        <v>-0.017814236275127</v>
      </c>
      <c r="E203" s="23">
        <v>0.03184</v>
      </c>
      <c r="F203" s="2">
        <f t="shared" si="12"/>
        <v>0.000122461538461538</v>
      </c>
      <c r="G203" s="2">
        <f t="shared" si="15"/>
        <v>-0.0179366978135886</v>
      </c>
    </row>
    <row r="204" spans="1:7">
      <c r="A204" t="s">
        <v>139</v>
      </c>
      <c r="B204" s="22">
        <v>58500</v>
      </c>
      <c r="C204" s="2">
        <f t="shared" si="13"/>
        <v>-0.0441176470588235</v>
      </c>
      <c r="D204" s="2">
        <f t="shared" si="14"/>
        <v>-0.0451204352804695</v>
      </c>
      <c r="E204" s="23">
        <v>0.03149</v>
      </c>
      <c r="F204" s="2">
        <f t="shared" si="12"/>
        <v>0.000121115384615385</v>
      </c>
      <c r="G204" s="2">
        <f t="shared" si="15"/>
        <v>-0.0452415506650849</v>
      </c>
    </row>
    <row r="205" spans="1:7">
      <c r="A205" t="s">
        <v>140</v>
      </c>
      <c r="B205" s="22">
        <v>57500</v>
      </c>
      <c r="C205" s="2">
        <f t="shared" si="13"/>
        <v>-0.0170940170940171</v>
      </c>
      <c r="D205" s="2">
        <f t="shared" si="14"/>
        <v>-0.0172418064345061</v>
      </c>
      <c r="E205" s="23">
        <v>0.03146</v>
      </c>
      <c r="F205" s="2">
        <f t="shared" si="12"/>
        <v>0.000121</v>
      </c>
      <c r="G205" s="2">
        <f t="shared" si="15"/>
        <v>-0.0173628064345061</v>
      </c>
    </row>
    <row r="206" spans="1:7">
      <c r="A206" t="s">
        <v>141</v>
      </c>
      <c r="B206" s="22">
        <v>55000</v>
      </c>
      <c r="C206" s="2">
        <f t="shared" si="13"/>
        <v>-0.0434782608695652</v>
      </c>
      <c r="D206" s="2">
        <f t="shared" si="14"/>
        <v>-0.0444517625708338</v>
      </c>
      <c r="E206" s="23">
        <v>0.03156</v>
      </c>
      <c r="F206" s="2">
        <f t="shared" si="12"/>
        <v>0.000121384615384615</v>
      </c>
      <c r="G206" s="2">
        <f t="shared" si="15"/>
        <v>-0.0445731471862184</v>
      </c>
    </row>
    <row r="207" spans="1:7">
      <c r="A207" t="s">
        <v>142</v>
      </c>
      <c r="B207" s="22">
        <v>55000</v>
      </c>
      <c r="C207" s="2">
        <f t="shared" si="13"/>
        <v>0</v>
      </c>
      <c r="D207" s="2">
        <f t="shared" si="14"/>
        <v>0</v>
      </c>
      <c r="E207" s="23">
        <v>0.03143</v>
      </c>
      <c r="F207" s="2">
        <f t="shared" si="12"/>
        <v>0.000120884615384615</v>
      </c>
      <c r="G207" s="2">
        <f t="shared" si="15"/>
        <v>-0.000120884615384615</v>
      </c>
    </row>
    <row r="208" spans="1:7">
      <c r="A208" t="s">
        <v>143</v>
      </c>
      <c r="B208" s="22">
        <v>56800</v>
      </c>
      <c r="C208" s="2">
        <f t="shared" si="13"/>
        <v>0.0327272727272727</v>
      </c>
      <c r="D208" s="2">
        <f t="shared" si="14"/>
        <v>0.0322031404946347</v>
      </c>
      <c r="E208" s="23">
        <v>0.0314</v>
      </c>
      <c r="F208" s="2">
        <f t="shared" si="12"/>
        <v>0.000120769230769231</v>
      </c>
      <c r="G208" s="2">
        <f t="shared" si="15"/>
        <v>0.0320823712638655</v>
      </c>
    </row>
    <row r="209" spans="1:7">
      <c r="A209" t="s">
        <v>144</v>
      </c>
      <c r="B209" s="22">
        <v>56500</v>
      </c>
      <c r="C209" s="2">
        <f t="shared" si="13"/>
        <v>-0.00528169014084507</v>
      </c>
      <c r="D209" s="2">
        <f t="shared" si="14"/>
        <v>-0.00529568757471045</v>
      </c>
      <c r="E209" s="23">
        <v>0.03126</v>
      </c>
      <c r="F209" s="2">
        <f t="shared" si="12"/>
        <v>0.000120230769230769</v>
      </c>
      <c r="G209" s="2">
        <f t="shared" si="15"/>
        <v>-0.00541591834394122</v>
      </c>
    </row>
    <row r="210" spans="1:7">
      <c r="A210" t="s">
        <v>145</v>
      </c>
      <c r="B210" s="22">
        <v>57500</v>
      </c>
      <c r="C210" s="2">
        <f t="shared" si="13"/>
        <v>0.0176991150442478</v>
      </c>
      <c r="D210" s="2">
        <f t="shared" si="14"/>
        <v>0.0175443096509095</v>
      </c>
      <c r="E210" s="23">
        <v>0.03145</v>
      </c>
      <c r="F210" s="2">
        <f t="shared" si="12"/>
        <v>0.000120961538461538</v>
      </c>
      <c r="G210" s="2">
        <f t="shared" si="15"/>
        <v>0.017423348112448</v>
      </c>
    </row>
    <row r="211" spans="1:7">
      <c r="A211" t="s">
        <v>146</v>
      </c>
      <c r="B211" s="22">
        <v>57200</v>
      </c>
      <c r="C211" s="2">
        <f t="shared" si="13"/>
        <v>-0.00521739130434783</v>
      </c>
      <c r="D211" s="2">
        <f t="shared" si="14"/>
        <v>-0.00523104941755256</v>
      </c>
      <c r="E211" s="23">
        <v>0.03146</v>
      </c>
      <c r="F211" s="2">
        <f t="shared" si="12"/>
        <v>0.000121</v>
      </c>
      <c r="G211" s="2">
        <f t="shared" si="15"/>
        <v>-0.00535204941755256</v>
      </c>
    </row>
    <row r="212" spans="1:7">
      <c r="A212" s="21">
        <v>45965</v>
      </c>
      <c r="B212" s="22">
        <v>53500</v>
      </c>
      <c r="C212" s="2">
        <f t="shared" si="13"/>
        <v>-0.0646853146853147</v>
      </c>
      <c r="D212" s="2">
        <f t="shared" si="14"/>
        <v>-0.0668722444837914</v>
      </c>
      <c r="E212" s="23">
        <v>0.03145</v>
      </c>
      <c r="F212" s="2">
        <f t="shared" si="12"/>
        <v>0.000120961538461538</v>
      </c>
      <c r="G212" s="2">
        <f t="shared" si="15"/>
        <v>-0.0669932060222529</v>
      </c>
    </row>
    <row r="213" spans="1:7">
      <c r="A213" s="21">
        <v>45934</v>
      </c>
      <c r="B213" s="22">
        <v>51800</v>
      </c>
      <c r="C213" s="2">
        <f t="shared" si="13"/>
        <v>-0.0317757009345794</v>
      </c>
      <c r="D213" s="2">
        <f t="shared" si="14"/>
        <v>-0.0322915046365235</v>
      </c>
      <c r="E213" s="23">
        <v>0.03134</v>
      </c>
      <c r="F213" s="2">
        <f t="shared" si="12"/>
        <v>0.000120538461538462</v>
      </c>
      <c r="G213" s="2">
        <f t="shared" si="15"/>
        <v>-0.032412043098062</v>
      </c>
    </row>
    <row r="214" spans="1:7">
      <c r="A214" s="21">
        <v>45904</v>
      </c>
      <c r="B214" s="22">
        <v>48500</v>
      </c>
      <c r="C214" s="2">
        <f t="shared" si="13"/>
        <v>-0.0637065637065637</v>
      </c>
      <c r="D214" s="2">
        <f t="shared" si="14"/>
        <v>-0.0658263513219998</v>
      </c>
      <c r="E214" s="23">
        <v>0.03149</v>
      </c>
      <c r="F214" s="2">
        <f t="shared" si="12"/>
        <v>0.000121115384615385</v>
      </c>
      <c r="G214" s="2">
        <f t="shared" si="15"/>
        <v>-0.0659474667066152</v>
      </c>
    </row>
    <row r="215" spans="1:7">
      <c r="A215" s="21">
        <v>45873</v>
      </c>
      <c r="B215" s="22">
        <v>47000</v>
      </c>
      <c r="C215" s="2">
        <f t="shared" si="13"/>
        <v>-0.0309278350515464</v>
      </c>
      <c r="D215" s="2">
        <f t="shared" si="14"/>
        <v>-0.0314161962333789</v>
      </c>
      <c r="E215" s="23">
        <v>0.03152</v>
      </c>
      <c r="F215" s="2">
        <f t="shared" si="12"/>
        <v>0.000121230769230769</v>
      </c>
      <c r="G215" s="2">
        <f t="shared" si="15"/>
        <v>-0.0315374270026097</v>
      </c>
    </row>
    <row r="216" spans="1:7">
      <c r="A216" s="21">
        <v>45751</v>
      </c>
      <c r="B216" s="22">
        <v>50300</v>
      </c>
      <c r="C216" s="2">
        <f t="shared" si="13"/>
        <v>0.0702127659574468</v>
      </c>
      <c r="D216" s="2">
        <f t="shared" si="14"/>
        <v>0.0678574753956349</v>
      </c>
      <c r="E216" s="23">
        <v>0.0312</v>
      </c>
      <c r="F216" s="2">
        <f t="shared" si="12"/>
        <v>0.00012</v>
      </c>
      <c r="G216" s="2">
        <f t="shared" si="15"/>
        <v>0.0677374753956349</v>
      </c>
    </row>
    <row r="217" spans="1:7">
      <c r="A217" s="21">
        <v>45720</v>
      </c>
      <c r="B217" s="22">
        <v>49300</v>
      </c>
      <c r="C217" s="2">
        <f t="shared" si="13"/>
        <v>-0.0198807157057654</v>
      </c>
      <c r="D217" s="2">
        <f t="shared" si="14"/>
        <v>-0.0200809960570491</v>
      </c>
      <c r="E217" s="23">
        <v>0.03153</v>
      </c>
      <c r="F217" s="2">
        <f t="shared" si="12"/>
        <v>0.000121269230769231</v>
      </c>
      <c r="G217" s="2">
        <f t="shared" si="15"/>
        <v>-0.0202022652878184</v>
      </c>
    </row>
    <row r="218" spans="1:7">
      <c r="A218" s="21">
        <v>45692</v>
      </c>
      <c r="B218" s="22">
        <v>53000</v>
      </c>
      <c r="C218" s="2">
        <f t="shared" si="13"/>
        <v>0.0750507099391481</v>
      </c>
      <c r="D218" s="2">
        <f t="shared" si="14"/>
        <v>0.0723678325034773</v>
      </c>
      <c r="E218" s="23">
        <v>0.03068</v>
      </c>
      <c r="F218" s="2">
        <f t="shared" si="12"/>
        <v>0.000118</v>
      </c>
      <c r="G218" s="2">
        <f t="shared" si="15"/>
        <v>0.0722498325034773</v>
      </c>
    </row>
    <row r="219" spans="1:7">
      <c r="A219" s="21">
        <v>45661</v>
      </c>
      <c r="B219" s="22">
        <v>53000</v>
      </c>
      <c r="C219" s="2">
        <f t="shared" si="13"/>
        <v>0</v>
      </c>
      <c r="D219" s="2">
        <f t="shared" si="14"/>
        <v>0</v>
      </c>
      <c r="E219" s="23">
        <v>0.03065</v>
      </c>
      <c r="F219" s="2">
        <f t="shared" si="12"/>
        <v>0.000117884615384615</v>
      </c>
      <c r="G219" s="2">
        <f t="shared" si="15"/>
        <v>-0.000117884615384615</v>
      </c>
    </row>
    <row r="220" spans="1:7">
      <c r="A220" t="s">
        <v>147</v>
      </c>
      <c r="B220" s="22">
        <v>51300</v>
      </c>
      <c r="C220" s="2">
        <f t="shared" si="13"/>
        <v>-0.0320754716981132</v>
      </c>
      <c r="D220" s="2">
        <f t="shared" si="14"/>
        <v>-0.032601161375398</v>
      </c>
      <c r="E220" s="23">
        <v>0.03059</v>
      </c>
      <c r="F220" s="2">
        <f t="shared" si="12"/>
        <v>0.000117653846153846</v>
      </c>
      <c r="G220" s="2">
        <f t="shared" si="15"/>
        <v>-0.0327188152215518</v>
      </c>
    </row>
    <row r="221" spans="1:7">
      <c r="A221" t="s">
        <v>148</v>
      </c>
      <c r="B221" s="22">
        <v>51200</v>
      </c>
      <c r="C221" s="2">
        <f t="shared" si="13"/>
        <v>-0.00194931773879142</v>
      </c>
      <c r="D221" s="2">
        <f t="shared" si="14"/>
        <v>-0.0019512201312618</v>
      </c>
      <c r="E221" s="23">
        <v>0.03066</v>
      </c>
      <c r="F221" s="2">
        <f t="shared" si="12"/>
        <v>0.000117923076923077</v>
      </c>
      <c r="G221" s="2">
        <f t="shared" si="15"/>
        <v>-0.00206914320818488</v>
      </c>
    </row>
    <row r="222" spans="1:7">
      <c r="A222" t="s">
        <v>149</v>
      </c>
      <c r="B222" s="22">
        <v>51200</v>
      </c>
      <c r="C222" s="2">
        <f t="shared" si="13"/>
        <v>0</v>
      </c>
      <c r="D222" s="2">
        <f t="shared" si="14"/>
        <v>0</v>
      </c>
      <c r="E222" s="23">
        <v>0.03083</v>
      </c>
      <c r="F222" s="2">
        <f t="shared" si="12"/>
        <v>0.000118576923076923</v>
      </c>
      <c r="G222" s="2">
        <f t="shared" si="15"/>
        <v>-0.000118576923076923</v>
      </c>
    </row>
    <row r="223" spans="1:7">
      <c r="A223" t="s">
        <v>150</v>
      </c>
      <c r="B223" s="22">
        <v>51500</v>
      </c>
      <c r="C223" s="2">
        <f t="shared" si="13"/>
        <v>0.005859375</v>
      </c>
      <c r="D223" s="2">
        <f t="shared" si="14"/>
        <v>0.00584227562422836</v>
      </c>
      <c r="E223" s="23">
        <v>0.03083</v>
      </c>
      <c r="F223" s="2">
        <f t="shared" si="12"/>
        <v>0.000118576923076923</v>
      </c>
      <c r="G223" s="2">
        <f t="shared" si="15"/>
        <v>0.00572369870115144</v>
      </c>
    </row>
    <row r="224" spans="1:7">
      <c r="A224" t="s">
        <v>151</v>
      </c>
      <c r="B224" s="22">
        <v>51500</v>
      </c>
      <c r="C224" s="2">
        <f t="shared" si="13"/>
        <v>0</v>
      </c>
      <c r="D224" s="2">
        <f t="shared" si="14"/>
        <v>0</v>
      </c>
      <c r="E224" s="23">
        <v>0.03079</v>
      </c>
      <c r="F224" s="2">
        <f t="shared" si="12"/>
        <v>0.000118423076923077</v>
      </c>
      <c r="G224" s="2">
        <f t="shared" si="15"/>
        <v>-0.000118423076923077</v>
      </c>
    </row>
    <row r="225" spans="1:7">
      <c r="A225" t="s">
        <v>152</v>
      </c>
      <c r="B225" s="22">
        <v>51300</v>
      </c>
      <c r="C225" s="2">
        <f t="shared" si="13"/>
        <v>-0.00388349514563107</v>
      </c>
      <c r="D225" s="2">
        <f t="shared" si="14"/>
        <v>-0.00389105549296656</v>
      </c>
      <c r="E225" s="23">
        <v>0.03069</v>
      </c>
      <c r="F225" s="2">
        <f t="shared" si="12"/>
        <v>0.000118038461538462</v>
      </c>
      <c r="G225" s="2">
        <f t="shared" si="15"/>
        <v>-0.00400909395450503</v>
      </c>
    </row>
    <row r="226" spans="1:7">
      <c r="A226" t="s">
        <v>153</v>
      </c>
      <c r="B226" s="22">
        <v>48250</v>
      </c>
      <c r="C226" s="2">
        <f t="shared" si="13"/>
        <v>-0.0594541910331384</v>
      </c>
      <c r="D226" s="2">
        <f t="shared" si="14"/>
        <v>-0.0612949243917289</v>
      </c>
      <c r="E226" s="23">
        <v>0.03053</v>
      </c>
      <c r="F226" s="2">
        <f t="shared" si="12"/>
        <v>0.000117423076923077</v>
      </c>
      <c r="G226" s="2">
        <f t="shared" si="15"/>
        <v>-0.061412347468652</v>
      </c>
    </row>
    <row r="227" spans="1:7">
      <c r="A227" t="s">
        <v>154</v>
      </c>
      <c r="B227" s="22">
        <v>47350</v>
      </c>
      <c r="C227" s="2">
        <f t="shared" si="13"/>
        <v>-0.0186528497409326</v>
      </c>
      <c r="D227" s="2">
        <f t="shared" si="14"/>
        <v>-0.0188290081529077</v>
      </c>
      <c r="E227" s="23">
        <v>0.03055</v>
      </c>
      <c r="F227" s="2">
        <f t="shared" si="12"/>
        <v>0.0001175</v>
      </c>
      <c r="G227" s="2">
        <f t="shared" si="15"/>
        <v>-0.0189465081529077</v>
      </c>
    </row>
    <row r="228" spans="1:7">
      <c r="A228" t="s">
        <v>155</v>
      </c>
      <c r="B228" s="22">
        <v>47350</v>
      </c>
      <c r="C228" s="2">
        <f t="shared" si="13"/>
        <v>0</v>
      </c>
      <c r="D228" s="2">
        <f t="shared" si="14"/>
        <v>0</v>
      </c>
      <c r="E228" s="23">
        <v>0.03066</v>
      </c>
      <c r="F228" s="2">
        <f t="shared" si="12"/>
        <v>0.000117923076923077</v>
      </c>
      <c r="G228" s="2">
        <f t="shared" si="15"/>
        <v>-0.000117923076923077</v>
      </c>
    </row>
    <row r="229" spans="1:7">
      <c r="A229" t="s">
        <v>156</v>
      </c>
      <c r="B229" s="22">
        <v>47300</v>
      </c>
      <c r="C229" s="2">
        <f t="shared" si="13"/>
        <v>-0.00105596620908131</v>
      </c>
      <c r="D229" s="2">
        <f t="shared" si="14"/>
        <v>-0.00105652413419998</v>
      </c>
      <c r="E229" s="23">
        <v>0.0306</v>
      </c>
      <c r="F229" s="2">
        <f t="shared" si="12"/>
        <v>0.000117692307692308</v>
      </c>
      <c r="G229" s="2">
        <f t="shared" si="15"/>
        <v>-0.00117421644189229</v>
      </c>
    </row>
    <row r="230" spans="1:7">
      <c r="A230" t="s">
        <v>157</v>
      </c>
      <c r="B230" s="22">
        <v>47800</v>
      </c>
      <c r="C230" s="2">
        <f t="shared" si="13"/>
        <v>0.0105708245243129</v>
      </c>
      <c r="D230" s="2">
        <f t="shared" si="14"/>
        <v>0.0105153439995229</v>
      </c>
      <c r="E230" s="23">
        <v>0.03055</v>
      </c>
      <c r="F230" s="2">
        <f t="shared" si="12"/>
        <v>0.0001175</v>
      </c>
      <c r="G230" s="2">
        <f t="shared" si="15"/>
        <v>0.0103978439995229</v>
      </c>
    </row>
    <row r="231" spans="1:7">
      <c r="A231" t="s">
        <v>158</v>
      </c>
      <c r="B231" s="22">
        <v>47900</v>
      </c>
      <c r="C231" s="2">
        <f t="shared" si="13"/>
        <v>0.00209205020920502</v>
      </c>
      <c r="D231" s="2">
        <f t="shared" si="14"/>
        <v>0.00208986491945924</v>
      </c>
      <c r="E231" s="23">
        <v>0.03071</v>
      </c>
      <c r="F231" s="2">
        <f t="shared" si="12"/>
        <v>0.000118115384615385</v>
      </c>
      <c r="G231" s="2">
        <f t="shared" si="15"/>
        <v>0.00197174953484385</v>
      </c>
    </row>
    <row r="232" spans="1:7">
      <c r="A232" t="s">
        <v>159</v>
      </c>
      <c r="B232" s="22">
        <v>47800</v>
      </c>
      <c r="C232" s="2">
        <f t="shared" si="13"/>
        <v>-0.00208768267223382</v>
      </c>
      <c r="D232" s="2">
        <f t="shared" si="14"/>
        <v>-0.00208986491945924</v>
      </c>
      <c r="E232" s="23">
        <v>0.03047</v>
      </c>
      <c r="F232" s="2">
        <f t="shared" si="12"/>
        <v>0.000117192307692308</v>
      </c>
      <c r="G232" s="2">
        <f t="shared" si="15"/>
        <v>-0.00220705722715155</v>
      </c>
    </row>
    <row r="233" spans="1:7">
      <c r="A233" s="21">
        <v>45994</v>
      </c>
      <c r="B233" s="22">
        <v>46950</v>
      </c>
      <c r="C233" s="2">
        <f t="shared" si="13"/>
        <v>-0.0177824267782427</v>
      </c>
      <c r="D233" s="2">
        <f t="shared" si="14"/>
        <v>-0.0179424338431384</v>
      </c>
      <c r="E233" s="23">
        <v>0.03068</v>
      </c>
      <c r="F233" s="2">
        <f t="shared" si="12"/>
        <v>0.000118</v>
      </c>
      <c r="G233" s="2">
        <f t="shared" si="15"/>
        <v>-0.0180604338431384</v>
      </c>
    </row>
    <row r="234" spans="1:7">
      <c r="A234" s="21">
        <v>45964</v>
      </c>
      <c r="B234" s="22">
        <v>45500</v>
      </c>
      <c r="C234" s="2">
        <f t="shared" si="13"/>
        <v>-0.0308839190628328</v>
      </c>
      <c r="D234" s="2">
        <f t="shared" si="14"/>
        <v>-0.0313708796973672</v>
      </c>
      <c r="E234" s="23">
        <v>0.0307</v>
      </c>
      <c r="F234" s="2">
        <f t="shared" si="12"/>
        <v>0.000118076923076923</v>
      </c>
      <c r="G234" s="2">
        <f t="shared" si="15"/>
        <v>-0.0314889566204441</v>
      </c>
    </row>
    <row r="235" spans="1:7">
      <c r="A235" s="21">
        <v>45933</v>
      </c>
      <c r="B235" s="22">
        <v>45300</v>
      </c>
      <c r="C235" s="2">
        <f t="shared" si="13"/>
        <v>-0.0043956043956044</v>
      </c>
      <c r="D235" s="2">
        <f t="shared" si="14"/>
        <v>-0.00440529346791638</v>
      </c>
      <c r="E235" s="23">
        <v>0.03064</v>
      </c>
      <c r="F235" s="2">
        <f t="shared" si="12"/>
        <v>0.000117846153846154</v>
      </c>
      <c r="G235" s="2">
        <f t="shared" si="15"/>
        <v>-0.00452313962176253</v>
      </c>
    </row>
    <row r="236" spans="1:7">
      <c r="A236" s="21">
        <v>45841</v>
      </c>
      <c r="B236" s="22">
        <v>44950</v>
      </c>
      <c r="C236" s="2">
        <f t="shared" si="13"/>
        <v>-0.00772626931567329</v>
      </c>
      <c r="D236" s="2">
        <f t="shared" si="14"/>
        <v>-0.0077562715713591</v>
      </c>
      <c r="E236" s="23">
        <v>0.03067</v>
      </c>
      <c r="F236" s="2">
        <f t="shared" si="12"/>
        <v>0.000117961538461538</v>
      </c>
      <c r="G236" s="2">
        <f t="shared" si="15"/>
        <v>-0.00787423310982063</v>
      </c>
    </row>
    <row r="237" spans="1:7">
      <c r="A237" s="21">
        <v>45811</v>
      </c>
      <c r="B237" s="22">
        <v>43600</v>
      </c>
      <c r="C237" s="2">
        <f t="shared" si="13"/>
        <v>-0.0300333704115684</v>
      </c>
      <c r="D237" s="2">
        <f t="shared" si="14"/>
        <v>-0.0304936105626406</v>
      </c>
      <c r="E237" s="23">
        <v>0.0307</v>
      </c>
      <c r="F237" s="2">
        <f t="shared" si="12"/>
        <v>0.000118076923076923</v>
      </c>
      <c r="G237" s="2">
        <f t="shared" si="15"/>
        <v>-0.0306116874857176</v>
      </c>
    </row>
    <row r="238" spans="1:7">
      <c r="A238" s="21">
        <v>45780</v>
      </c>
      <c r="B238" s="22">
        <v>42700</v>
      </c>
      <c r="C238" s="2">
        <f t="shared" si="13"/>
        <v>-0.0206422018348624</v>
      </c>
      <c r="D238" s="2">
        <f t="shared" si="14"/>
        <v>-0.0208582301204098</v>
      </c>
      <c r="E238" s="23">
        <v>0.0312</v>
      </c>
      <c r="F238" s="2">
        <f t="shared" si="12"/>
        <v>0.00012</v>
      </c>
      <c r="G238" s="2">
        <f t="shared" si="15"/>
        <v>-0.0209782301204098</v>
      </c>
    </row>
    <row r="239" spans="1:7">
      <c r="A239" s="21">
        <v>45750</v>
      </c>
      <c r="B239" s="22">
        <v>42050</v>
      </c>
      <c r="C239" s="2">
        <f t="shared" si="13"/>
        <v>-0.0152224824355972</v>
      </c>
      <c r="D239" s="2">
        <f t="shared" si="14"/>
        <v>-0.0153395338156218</v>
      </c>
      <c r="E239" s="23">
        <v>0.03179</v>
      </c>
      <c r="F239" s="2">
        <f t="shared" si="12"/>
        <v>0.000122269230769231</v>
      </c>
      <c r="G239" s="2">
        <f t="shared" si="15"/>
        <v>-0.0154618030463911</v>
      </c>
    </row>
    <row r="240" spans="1:7">
      <c r="A240" s="21">
        <v>45719</v>
      </c>
      <c r="B240" s="22">
        <v>42550</v>
      </c>
      <c r="C240" s="2">
        <f t="shared" si="13"/>
        <v>0.0118906064209275</v>
      </c>
      <c r="D240" s="2">
        <f t="shared" si="14"/>
        <v>0.011820468600426</v>
      </c>
      <c r="E240" s="23">
        <v>0.03189</v>
      </c>
      <c r="F240" s="2">
        <f t="shared" si="12"/>
        <v>0.000122653846153846</v>
      </c>
      <c r="G240" s="2">
        <f t="shared" si="15"/>
        <v>0.0116978147542722</v>
      </c>
    </row>
    <row r="241" spans="1:7">
      <c r="A241" t="s">
        <v>160</v>
      </c>
      <c r="B241" s="22">
        <v>41200</v>
      </c>
      <c r="C241" s="2">
        <f t="shared" si="13"/>
        <v>-0.0317273795534665</v>
      </c>
      <c r="D241" s="2">
        <f t="shared" si="14"/>
        <v>-0.0322415986639024</v>
      </c>
      <c r="E241" s="23">
        <v>0.03179</v>
      </c>
      <c r="F241" s="2">
        <f t="shared" si="12"/>
        <v>0.000122269230769231</v>
      </c>
      <c r="G241" s="2">
        <f t="shared" si="15"/>
        <v>-0.0323638678946717</v>
      </c>
    </row>
    <row r="242" spans="1:7">
      <c r="A242" t="s">
        <v>161</v>
      </c>
      <c r="B242" s="22">
        <v>41050</v>
      </c>
      <c r="C242" s="2">
        <f t="shared" si="13"/>
        <v>-0.00364077669902913</v>
      </c>
      <c r="D242" s="2">
        <f t="shared" si="14"/>
        <v>-0.00364742045704353</v>
      </c>
      <c r="E242" s="23">
        <v>0.03167</v>
      </c>
      <c r="F242" s="2">
        <f t="shared" si="12"/>
        <v>0.000121807692307692</v>
      </c>
      <c r="G242" s="2">
        <f t="shared" si="15"/>
        <v>-0.00376922814935122</v>
      </c>
    </row>
    <row r="243" spans="1:7">
      <c r="A243" t="s">
        <v>162</v>
      </c>
      <c r="B243" s="22">
        <v>40700</v>
      </c>
      <c r="C243" s="2">
        <f t="shared" si="13"/>
        <v>-0.00852618757612668</v>
      </c>
      <c r="D243" s="2">
        <f t="shared" si="14"/>
        <v>-0.00856274344988791</v>
      </c>
      <c r="E243" s="23">
        <v>0.03217</v>
      </c>
      <c r="F243" s="2">
        <f t="shared" si="12"/>
        <v>0.000123730769230769</v>
      </c>
      <c r="G243" s="2">
        <f t="shared" si="15"/>
        <v>-0.00868647421911868</v>
      </c>
    </row>
    <row r="244" spans="1:7">
      <c r="A244" t="s">
        <v>163</v>
      </c>
      <c r="B244" s="22">
        <v>40750</v>
      </c>
      <c r="C244" s="2">
        <f t="shared" si="13"/>
        <v>0.00122850122850123</v>
      </c>
      <c r="D244" s="2">
        <f t="shared" si="14"/>
        <v>0.00122774723832234</v>
      </c>
      <c r="E244" s="23">
        <v>0.03213</v>
      </c>
      <c r="F244" s="2">
        <f t="shared" si="12"/>
        <v>0.000123576923076923</v>
      </c>
      <c r="G244" s="2">
        <f t="shared" si="15"/>
        <v>0.00110417031524541</v>
      </c>
    </row>
    <row r="245" spans="1:7">
      <c r="A245" t="s">
        <v>164</v>
      </c>
      <c r="B245" s="22">
        <v>40250</v>
      </c>
      <c r="C245" s="2">
        <f t="shared" si="13"/>
        <v>-0.0122699386503067</v>
      </c>
      <c r="D245" s="2">
        <f t="shared" si="14"/>
        <v>-0.0123458358222994</v>
      </c>
      <c r="E245" s="23">
        <v>0.03231</v>
      </c>
      <c r="F245" s="2">
        <f t="shared" si="12"/>
        <v>0.000124269230769231</v>
      </c>
      <c r="G245" s="2">
        <f t="shared" si="15"/>
        <v>-0.0124701050530686</v>
      </c>
    </row>
    <row r="246" spans="1:7">
      <c r="A246" t="s">
        <v>165</v>
      </c>
      <c r="B246" s="22">
        <v>40300</v>
      </c>
      <c r="C246" s="2">
        <f t="shared" si="13"/>
        <v>0.00124223602484472</v>
      </c>
      <c r="D246" s="2">
        <f t="shared" si="14"/>
        <v>0.00124146508806495</v>
      </c>
      <c r="E246" s="23">
        <v>0.03212</v>
      </c>
      <c r="F246" s="2">
        <f t="shared" si="12"/>
        <v>0.000123538461538462</v>
      </c>
      <c r="G246" s="2">
        <f t="shared" si="15"/>
        <v>0.00111792662652648</v>
      </c>
    </row>
    <row r="247" spans="1:7">
      <c r="A247" t="s">
        <v>166</v>
      </c>
      <c r="B247" s="22">
        <v>40550</v>
      </c>
      <c r="C247" s="2">
        <f t="shared" si="13"/>
        <v>0.00620347394540943</v>
      </c>
      <c r="D247" s="2">
        <f t="shared" si="14"/>
        <v>0.00618431160878452</v>
      </c>
      <c r="E247" s="23">
        <v>0.03216</v>
      </c>
      <c r="F247" s="2">
        <f t="shared" si="12"/>
        <v>0.000123692307692308</v>
      </c>
      <c r="G247" s="2">
        <f t="shared" si="15"/>
        <v>0.00606061930109222</v>
      </c>
    </row>
    <row r="248" spans="1:7">
      <c r="A248" t="s">
        <v>167</v>
      </c>
      <c r="B248" s="22">
        <v>39100</v>
      </c>
      <c r="C248" s="2">
        <f t="shared" si="13"/>
        <v>-0.0357583230579531</v>
      </c>
      <c r="D248" s="2">
        <f t="shared" si="14"/>
        <v>-0.0364133135701018</v>
      </c>
      <c r="E248" s="23">
        <v>0.03225</v>
      </c>
      <c r="F248" s="2">
        <f t="shared" si="12"/>
        <v>0.000124038461538462</v>
      </c>
      <c r="G248" s="2">
        <f t="shared" si="15"/>
        <v>-0.0365373520316403</v>
      </c>
    </row>
    <row r="249" spans="1:7">
      <c r="A249" t="s">
        <v>168</v>
      </c>
      <c r="B249" s="22">
        <v>38900</v>
      </c>
      <c r="C249" s="2">
        <f t="shared" si="13"/>
        <v>-0.0051150895140665</v>
      </c>
      <c r="D249" s="2">
        <f t="shared" si="14"/>
        <v>-0.00512821636691946</v>
      </c>
      <c r="E249" s="23">
        <v>0.03224</v>
      </c>
      <c r="F249" s="2">
        <f t="shared" si="12"/>
        <v>0.000124</v>
      </c>
      <c r="G249" s="2">
        <f t="shared" si="15"/>
        <v>-0.00525221636691946</v>
      </c>
    </row>
    <row r="250" spans="1:7">
      <c r="A250" t="s">
        <v>169</v>
      </c>
      <c r="B250" s="22">
        <v>38800</v>
      </c>
      <c r="C250" s="2">
        <f t="shared" si="13"/>
        <v>-0.0025706940874036</v>
      </c>
      <c r="D250" s="2">
        <f t="shared" si="14"/>
        <v>-0.00257400399517288</v>
      </c>
      <c r="E250" s="23">
        <v>0.03224</v>
      </c>
      <c r="F250" s="2">
        <f t="shared" si="12"/>
        <v>0.000124</v>
      </c>
      <c r="G250" s="2">
        <f t="shared" si="15"/>
        <v>-0.00269800399517288</v>
      </c>
    </row>
    <row r="251" spans="1:7">
      <c r="A251" t="s">
        <v>170</v>
      </c>
      <c r="B251" s="22">
        <v>38800</v>
      </c>
      <c r="C251" s="2">
        <f t="shared" si="13"/>
        <v>0</v>
      </c>
      <c r="D251" s="2">
        <f t="shared" si="14"/>
        <v>0</v>
      </c>
      <c r="E251" s="23">
        <v>0.03216</v>
      </c>
      <c r="F251" s="2">
        <f t="shared" si="12"/>
        <v>0.000123692307692308</v>
      </c>
      <c r="G251" s="2">
        <f t="shared" si="15"/>
        <v>-0.000123692307692308</v>
      </c>
    </row>
    <row r="252" spans="1:7">
      <c r="A252" t="s">
        <v>171</v>
      </c>
      <c r="B252" s="22">
        <v>38750</v>
      </c>
      <c r="C252" s="2">
        <f t="shared" si="13"/>
        <v>-0.00128865979381443</v>
      </c>
      <c r="D252" s="2">
        <f t="shared" si="14"/>
        <v>-0.00128949082987175</v>
      </c>
      <c r="E252" s="23">
        <v>0.03231</v>
      </c>
      <c r="F252" s="2">
        <f t="shared" si="12"/>
        <v>0.000124269230769231</v>
      </c>
      <c r="G252" s="2">
        <f t="shared" si="15"/>
        <v>-0.00141376006064098</v>
      </c>
    </row>
    <row r="253" spans="1:7">
      <c r="A253" s="21">
        <v>45993</v>
      </c>
      <c r="B253" s="22">
        <v>38000</v>
      </c>
      <c r="C253" s="2">
        <f t="shared" si="13"/>
        <v>-0.0193548387096774</v>
      </c>
      <c r="D253" s="2">
        <f t="shared" si="14"/>
        <v>-0.0195445960729703</v>
      </c>
      <c r="E253" s="23">
        <v>0.03212</v>
      </c>
      <c r="F253" s="2">
        <f t="shared" si="12"/>
        <v>0.000123538461538462</v>
      </c>
      <c r="G253" s="2">
        <f t="shared" si="15"/>
        <v>-0.0196681345345087</v>
      </c>
    </row>
    <row r="254" spans="1:7">
      <c r="A254" s="21">
        <v>45963</v>
      </c>
      <c r="B254" s="22">
        <v>37750</v>
      </c>
      <c r="C254" s="2">
        <f t="shared" si="13"/>
        <v>-0.00657894736842105</v>
      </c>
      <c r="D254" s="2">
        <f t="shared" si="14"/>
        <v>-0.00660068403135202</v>
      </c>
      <c r="E254" s="23">
        <v>0.03186</v>
      </c>
      <c r="F254" s="2">
        <f t="shared" si="12"/>
        <v>0.000122538461538462</v>
      </c>
      <c r="G254" s="2">
        <f t="shared" si="15"/>
        <v>-0.00672322249289049</v>
      </c>
    </row>
    <row r="255" spans="1:7">
      <c r="A255" s="21">
        <v>45932</v>
      </c>
      <c r="B255" s="22">
        <v>37800</v>
      </c>
      <c r="C255" s="2">
        <f t="shared" si="13"/>
        <v>0.00132450331125828</v>
      </c>
      <c r="D255" s="2">
        <f t="shared" si="14"/>
        <v>0.00132362693050835</v>
      </c>
      <c r="E255" s="23">
        <v>0.03174</v>
      </c>
      <c r="F255" s="2">
        <f t="shared" si="12"/>
        <v>0.000122076923076923</v>
      </c>
      <c r="G255" s="2">
        <f t="shared" si="15"/>
        <v>0.00120155000743142</v>
      </c>
    </row>
    <row r="256" spans="1:7">
      <c r="A256" s="21">
        <v>45840</v>
      </c>
      <c r="B256" s="22">
        <v>38750</v>
      </c>
      <c r="C256" s="2">
        <f t="shared" si="13"/>
        <v>0.0251322751322751</v>
      </c>
      <c r="D256" s="2">
        <f t="shared" si="14"/>
        <v>0.024821653173814</v>
      </c>
      <c r="E256" s="23">
        <v>0.03128</v>
      </c>
      <c r="F256" s="2">
        <f t="shared" si="12"/>
        <v>0.000120307692307692</v>
      </c>
      <c r="G256" s="2">
        <f t="shared" si="15"/>
        <v>0.0247013454815063</v>
      </c>
    </row>
    <row r="257" spans="1:7">
      <c r="A257" s="21">
        <v>45810</v>
      </c>
      <c r="B257" s="22">
        <v>38800</v>
      </c>
      <c r="C257" s="2">
        <f t="shared" si="13"/>
        <v>0.00129032258064516</v>
      </c>
      <c r="D257" s="2">
        <f t="shared" si="14"/>
        <v>0.00128949082987169</v>
      </c>
      <c r="E257" s="23">
        <v>0.03139</v>
      </c>
      <c r="F257" s="2">
        <f t="shared" si="12"/>
        <v>0.000120730769230769</v>
      </c>
      <c r="G257" s="2">
        <f t="shared" si="15"/>
        <v>0.00116876006064092</v>
      </c>
    </row>
    <row r="258" spans="1:7">
      <c r="A258" s="21">
        <v>45779</v>
      </c>
      <c r="B258" s="22">
        <v>38850</v>
      </c>
      <c r="C258" s="2">
        <f t="shared" si="13"/>
        <v>0.00128865979381443</v>
      </c>
      <c r="D258" s="2">
        <f t="shared" si="14"/>
        <v>0.00128783018442869</v>
      </c>
      <c r="E258" s="23">
        <v>0.03104</v>
      </c>
      <c r="F258" s="2">
        <f t="shared" si="12"/>
        <v>0.000119384615384615</v>
      </c>
      <c r="G258" s="2">
        <f t="shared" si="15"/>
        <v>0.00116844556904407</v>
      </c>
    </row>
    <row r="259" spans="1:7">
      <c r="A259" s="21">
        <v>45749</v>
      </c>
      <c r="B259" s="22">
        <v>38750</v>
      </c>
      <c r="C259" s="2">
        <f t="shared" si="13"/>
        <v>-0.00257400257400257</v>
      </c>
      <c r="D259" s="2">
        <f t="shared" si="14"/>
        <v>-0.0025773210143004</v>
      </c>
      <c r="E259" s="23">
        <v>0.03115</v>
      </c>
      <c r="F259" s="2">
        <f t="shared" ref="F259:F322" si="16">E259/260</f>
        <v>0.000119807692307692</v>
      </c>
      <c r="G259" s="2">
        <f t="shared" si="15"/>
        <v>-0.0026971287066081</v>
      </c>
    </row>
    <row r="260" spans="1:7">
      <c r="A260" s="21">
        <v>45718</v>
      </c>
      <c r="B260" s="22">
        <v>39000</v>
      </c>
      <c r="C260" s="2">
        <f t="shared" ref="C260:C323" si="17">(B260-B259)/B259</f>
        <v>0.00645161290322581</v>
      </c>
      <c r="D260" s="2">
        <f t="shared" ref="D260:D323" si="18">LN(B260/B259)</f>
        <v>0.00643089033029033</v>
      </c>
      <c r="E260" s="23">
        <v>0.0312</v>
      </c>
      <c r="F260" s="2">
        <f t="shared" si="16"/>
        <v>0.00012</v>
      </c>
      <c r="G260" s="2">
        <f t="shared" ref="G260:G323" si="19">D260-F260</f>
        <v>0.00631089033029033</v>
      </c>
    </row>
    <row r="261" spans="1:7">
      <c r="A261" t="s">
        <v>172</v>
      </c>
      <c r="B261" s="22">
        <v>39500</v>
      </c>
      <c r="C261" s="2">
        <f t="shared" si="17"/>
        <v>0.0128205128205128</v>
      </c>
      <c r="D261" s="2">
        <f t="shared" si="18"/>
        <v>0.0127390257774297</v>
      </c>
      <c r="E261" s="23">
        <v>0.03107</v>
      </c>
      <c r="F261" s="2">
        <f t="shared" si="16"/>
        <v>0.0001195</v>
      </c>
      <c r="G261" s="2">
        <f t="shared" si="19"/>
        <v>0.0126195257774297</v>
      </c>
    </row>
    <row r="262" spans="1:7">
      <c r="A262" t="s">
        <v>173</v>
      </c>
      <c r="B262" s="22">
        <v>39500</v>
      </c>
      <c r="C262" s="2">
        <f t="shared" si="17"/>
        <v>0</v>
      </c>
      <c r="D262" s="2">
        <f t="shared" si="18"/>
        <v>0</v>
      </c>
      <c r="E262" s="23">
        <v>0.03095</v>
      </c>
      <c r="F262" s="2">
        <f t="shared" si="16"/>
        <v>0.000119038461538462</v>
      </c>
      <c r="G262" s="2">
        <f t="shared" si="19"/>
        <v>-0.000119038461538462</v>
      </c>
    </row>
    <row r="263" spans="1:7">
      <c r="A263" t="s">
        <v>174</v>
      </c>
      <c r="B263" s="22">
        <v>39500</v>
      </c>
      <c r="C263" s="2">
        <f t="shared" si="17"/>
        <v>0</v>
      </c>
      <c r="D263" s="2">
        <f t="shared" si="18"/>
        <v>0</v>
      </c>
      <c r="E263" s="23">
        <v>0.03146</v>
      </c>
      <c r="F263" s="2">
        <f t="shared" si="16"/>
        <v>0.000121</v>
      </c>
      <c r="G263" s="2">
        <f t="shared" si="19"/>
        <v>-0.000121</v>
      </c>
    </row>
    <row r="264" spans="1:7">
      <c r="A264" t="s">
        <v>175</v>
      </c>
      <c r="B264" s="22">
        <v>40000</v>
      </c>
      <c r="C264" s="2">
        <f t="shared" si="17"/>
        <v>0.0126582278481013</v>
      </c>
      <c r="D264" s="2">
        <f t="shared" si="18"/>
        <v>0.0125787822068602</v>
      </c>
      <c r="E264" s="23">
        <v>0.03167</v>
      </c>
      <c r="F264" s="2">
        <f t="shared" si="16"/>
        <v>0.000121807692307692</v>
      </c>
      <c r="G264" s="2">
        <f t="shared" si="19"/>
        <v>0.0124569745145525</v>
      </c>
    </row>
    <row r="265" spans="1:7">
      <c r="A265" t="s">
        <v>176</v>
      </c>
      <c r="B265" s="22">
        <v>40000</v>
      </c>
      <c r="C265" s="2">
        <f t="shared" si="17"/>
        <v>0</v>
      </c>
      <c r="D265" s="2">
        <f t="shared" si="18"/>
        <v>0</v>
      </c>
      <c r="E265" s="23">
        <v>0.03157</v>
      </c>
      <c r="F265" s="2">
        <f t="shared" si="16"/>
        <v>0.000121423076923077</v>
      </c>
      <c r="G265" s="2">
        <f t="shared" si="19"/>
        <v>-0.000121423076923077</v>
      </c>
    </row>
    <row r="266" spans="1:7">
      <c r="A266" t="s">
        <v>177</v>
      </c>
      <c r="B266" s="22">
        <v>40100</v>
      </c>
      <c r="C266" s="2">
        <f t="shared" si="17"/>
        <v>0.0025</v>
      </c>
      <c r="D266" s="2">
        <f t="shared" si="18"/>
        <v>0.00249688019858715</v>
      </c>
      <c r="E266" s="23">
        <v>0.03176</v>
      </c>
      <c r="F266" s="2">
        <f t="shared" si="16"/>
        <v>0.000122153846153846</v>
      </c>
      <c r="G266" s="2">
        <f t="shared" si="19"/>
        <v>0.0023747263524333</v>
      </c>
    </row>
    <row r="267" spans="1:7">
      <c r="A267" t="s">
        <v>178</v>
      </c>
      <c r="B267" s="22">
        <v>40000</v>
      </c>
      <c r="C267" s="2">
        <f t="shared" si="17"/>
        <v>-0.00249376558603491</v>
      </c>
      <c r="D267" s="2">
        <f t="shared" si="18"/>
        <v>-0.00249688019858715</v>
      </c>
      <c r="E267" s="23">
        <v>0.03192</v>
      </c>
      <c r="F267" s="2">
        <f t="shared" si="16"/>
        <v>0.000122769230769231</v>
      </c>
      <c r="G267" s="2">
        <f t="shared" si="19"/>
        <v>-0.00261964942935639</v>
      </c>
    </row>
    <row r="268" spans="1:7">
      <c r="A268" t="s">
        <v>179</v>
      </c>
      <c r="B268" s="22">
        <v>40000</v>
      </c>
      <c r="C268" s="2">
        <f t="shared" si="17"/>
        <v>0</v>
      </c>
      <c r="D268" s="2">
        <f t="shared" si="18"/>
        <v>0</v>
      </c>
      <c r="E268" s="23">
        <v>0.03206</v>
      </c>
      <c r="F268" s="2">
        <f t="shared" si="16"/>
        <v>0.000123307692307692</v>
      </c>
      <c r="G268" s="2">
        <f t="shared" si="19"/>
        <v>-0.000123307692307692</v>
      </c>
    </row>
    <row r="269" spans="1:7">
      <c r="A269" t="s">
        <v>180</v>
      </c>
      <c r="B269" s="22">
        <v>40000</v>
      </c>
      <c r="C269" s="2">
        <f t="shared" si="17"/>
        <v>0</v>
      </c>
      <c r="D269" s="2">
        <f t="shared" si="18"/>
        <v>0</v>
      </c>
      <c r="E269" s="23">
        <v>0.03191</v>
      </c>
      <c r="F269" s="2">
        <f t="shared" si="16"/>
        <v>0.000122730769230769</v>
      </c>
      <c r="G269" s="2">
        <f t="shared" si="19"/>
        <v>-0.000122730769230769</v>
      </c>
    </row>
    <row r="270" spans="1:7">
      <c r="A270" t="s">
        <v>181</v>
      </c>
      <c r="B270" s="22">
        <v>40000</v>
      </c>
      <c r="C270" s="2">
        <f t="shared" si="17"/>
        <v>0</v>
      </c>
      <c r="D270" s="2">
        <f t="shared" si="18"/>
        <v>0</v>
      </c>
      <c r="E270" s="23">
        <v>0.03189</v>
      </c>
      <c r="F270" s="2">
        <f t="shared" si="16"/>
        <v>0.000122653846153846</v>
      </c>
      <c r="G270" s="2">
        <f t="shared" si="19"/>
        <v>-0.000122653846153846</v>
      </c>
    </row>
    <row r="271" spans="1:7">
      <c r="A271" s="21">
        <v>45931</v>
      </c>
      <c r="B271" s="22">
        <v>40000</v>
      </c>
      <c r="C271" s="2">
        <f t="shared" si="17"/>
        <v>0</v>
      </c>
      <c r="D271" s="2">
        <f t="shared" si="18"/>
        <v>0</v>
      </c>
      <c r="E271" s="23">
        <v>0.03153</v>
      </c>
      <c r="F271" s="2">
        <f t="shared" si="16"/>
        <v>0.000121269230769231</v>
      </c>
      <c r="G271" s="2">
        <f t="shared" si="19"/>
        <v>-0.000121269230769231</v>
      </c>
    </row>
    <row r="272" spans="1:7">
      <c r="A272" s="21">
        <v>45901</v>
      </c>
      <c r="B272" s="22">
        <v>40400</v>
      </c>
      <c r="C272" s="2">
        <f t="shared" si="17"/>
        <v>0.01</v>
      </c>
      <c r="D272" s="2">
        <f t="shared" si="18"/>
        <v>0.00995033085316809</v>
      </c>
      <c r="E272" s="23">
        <v>0.03095</v>
      </c>
      <c r="F272" s="2">
        <f t="shared" si="16"/>
        <v>0.000119038461538462</v>
      </c>
      <c r="G272" s="2">
        <f t="shared" si="19"/>
        <v>0.00983129239162963</v>
      </c>
    </row>
    <row r="273" spans="1:7">
      <c r="A273" s="21">
        <v>45870</v>
      </c>
      <c r="B273" s="22">
        <v>40000</v>
      </c>
      <c r="C273" s="2">
        <f t="shared" si="17"/>
        <v>-0.0099009900990099</v>
      </c>
      <c r="D273" s="2">
        <f t="shared" si="18"/>
        <v>-0.00995033085316809</v>
      </c>
      <c r="E273" s="23">
        <v>0.03112</v>
      </c>
      <c r="F273" s="2">
        <f t="shared" si="16"/>
        <v>0.000119692307692308</v>
      </c>
      <c r="G273" s="2">
        <f t="shared" si="19"/>
        <v>-0.0100700231608604</v>
      </c>
    </row>
    <row r="274" spans="1:7">
      <c r="A274" s="21">
        <v>45839</v>
      </c>
      <c r="B274" s="22">
        <v>40000</v>
      </c>
      <c r="C274" s="2">
        <f t="shared" si="17"/>
        <v>0</v>
      </c>
      <c r="D274" s="2">
        <f t="shared" si="18"/>
        <v>0</v>
      </c>
      <c r="E274" s="23">
        <v>0.03093</v>
      </c>
      <c r="F274" s="2">
        <f t="shared" si="16"/>
        <v>0.000118961538461538</v>
      </c>
      <c r="G274" s="2">
        <f t="shared" si="19"/>
        <v>-0.000118961538461538</v>
      </c>
    </row>
    <row r="275" spans="1:7">
      <c r="A275" s="21">
        <v>45809</v>
      </c>
      <c r="B275" s="22">
        <v>40000</v>
      </c>
      <c r="C275" s="2">
        <f t="shared" si="17"/>
        <v>0</v>
      </c>
      <c r="D275" s="2">
        <f t="shared" si="18"/>
        <v>0</v>
      </c>
      <c r="E275" s="23">
        <v>0.03092</v>
      </c>
      <c r="F275" s="2">
        <f t="shared" si="16"/>
        <v>0.000118923076923077</v>
      </c>
      <c r="G275" s="2">
        <f t="shared" si="19"/>
        <v>-0.000118923076923077</v>
      </c>
    </row>
    <row r="276" spans="1:7">
      <c r="A276" s="21">
        <v>45717</v>
      </c>
      <c r="B276" s="22">
        <v>40000</v>
      </c>
      <c r="C276" s="2">
        <f t="shared" si="17"/>
        <v>0</v>
      </c>
      <c r="D276" s="2">
        <f t="shared" si="18"/>
        <v>0</v>
      </c>
      <c r="E276" s="23">
        <v>0.03113</v>
      </c>
      <c r="F276" s="2">
        <f t="shared" si="16"/>
        <v>0.000119730769230769</v>
      </c>
      <c r="G276" s="2">
        <f t="shared" si="19"/>
        <v>-0.000119730769230769</v>
      </c>
    </row>
    <row r="277" spans="1:7">
      <c r="A277" s="21">
        <v>45689</v>
      </c>
      <c r="B277" s="22">
        <v>40000</v>
      </c>
      <c r="C277" s="2">
        <f t="shared" si="17"/>
        <v>0</v>
      </c>
      <c r="D277" s="2">
        <f t="shared" si="18"/>
        <v>0</v>
      </c>
      <c r="E277" s="23">
        <v>0.03108</v>
      </c>
      <c r="F277" s="2">
        <f t="shared" si="16"/>
        <v>0.000119538461538462</v>
      </c>
      <c r="G277" s="2">
        <f t="shared" si="19"/>
        <v>-0.000119538461538462</v>
      </c>
    </row>
    <row r="278" spans="1:7">
      <c r="A278" t="s">
        <v>182</v>
      </c>
      <c r="B278" s="22">
        <v>40000</v>
      </c>
      <c r="C278" s="2">
        <f t="shared" si="17"/>
        <v>0</v>
      </c>
      <c r="D278" s="2">
        <f t="shared" si="18"/>
        <v>0</v>
      </c>
      <c r="E278" s="23">
        <v>0.03118</v>
      </c>
      <c r="F278" s="2">
        <f t="shared" si="16"/>
        <v>0.000119923076923077</v>
      </c>
      <c r="G278" s="2">
        <f t="shared" si="19"/>
        <v>-0.000119923076923077</v>
      </c>
    </row>
    <row r="279" spans="1:7">
      <c r="A279" t="s">
        <v>183</v>
      </c>
      <c r="B279" s="22">
        <v>40300</v>
      </c>
      <c r="C279" s="2">
        <f t="shared" si="17"/>
        <v>0.0075</v>
      </c>
      <c r="D279" s="2">
        <f t="shared" si="18"/>
        <v>0.00747201483870106</v>
      </c>
      <c r="E279" s="23">
        <v>0.03114</v>
      </c>
      <c r="F279" s="2">
        <f t="shared" si="16"/>
        <v>0.000119769230769231</v>
      </c>
      <c r="G279" s="2">
        <f t="shared" si="19"/>
        <v>0.00735224560793183</v>
      </c>
    </row>
    <row r="280" spans="1:7">
      <c r="A280" t="s">
        <v>184</v>
      </c>
      <c r="B280" s="22">
        <v>40350</v>
      </c>
      <c r="C280" s="2">
        <f t="shared" si="17"/>
        <v>0.00124069478908189</v>
      </c>
      <c r="D280" s="2">
        <f t="shared" si="18"/>
        <v>0.00123992576332057</v>
      </c>
      <c r="E280" s="23">
        <v>0.03109</v>
      </c>
      <c r="F280" s="2">
        <f t="shared" si="16"/>
        <v>0.000119576923076923</v>
      </c>
      <c r="G280" s="2">
        <f t="shared" si="19"/>
        <v>0.00112034884024365</v>
      </c>
    </row>
    <row r="281" spans="1:7">
      <c r="A281" t="s">
        <v>185</v>
      </c>
      <c r="B281" s="22">
        <v>40650</v>
      </c>
      <c r="C281" s="2">
        <f t="shared" si="17"/>
        <v>0.00743494423791822</v>
      </c>
      <c r="D281" s="2">
        <f t="shared" si="18"/>
        <v>0.00740744127786182</v>
      </c>
      <c r="E281" s="23">
        <v>0.03122</v>
      </c>
      <c r="F281" s="2">
        <f t="shared" si="16"/>
        <v>0.000120076923076923</v>
      </c>
      <c r="G281" s="2">
        <f t="shared" si="19"/>
        <v>0.00728736435478489</v>
      </c>
    </row>
    <row r="282" spans="1:7">
      <c r="A282" t="s">
        <v>186</v>
      </c>
      <c r="B282" s="22">
        <v>40600</v>
      </c>
      <c r="C282" s="2">
        <f t="shared" si="17"/>
        <v>-0.001230012300123</v>
      </c>
      <c r="D282" s="2">
        <f t="shared" si="18"/>
        <v>-0.00123076938613262</v>
      </c>
      <c r="E282" s="23">
        <v>0.03122</v>
      </c>
      <c r="F282" s="2">
        <f t="shared" si="16"/>
        <v>0.000120076923076923</v>
      </c>
      <c r="G282" s="2">
        <f t="shared" si="19"/>
        <v>-0.00135084630920955</v>
      </c>
    </row>
    <row r="283" spans="1:7">
      <c r="A283" t="s">
        <v>187</v>
      </c>
      <c r="B283" s="22">
        <v>40350</v>
      </c>
      <c r="C283" s="2">
        <f t="shared" si="17"/>
        <v>-0.0061576354679803</v>
      </c>
      <c r="D283" s="2">
        <f t="shared" si="18"/>
        <v>-0.00617667189172917</v>
      </c>
      <c r="E283" s="23">
        <v>0.03119</v>
      </c>
      <c r="F283" s="2">
        <f t="shared" si="16"/>
        <v>0.000119961538461538</v>
      </c>
      <c r="G283" s="2">
        <f t="shared" si="19"/>
        <v>-0.00629663343019071</v>
      </c>
    </row>
    <row r="284" spans="1:7">
      <c r="A284" t="s">
        <v>188</v>
      </c>
      <c r="B284" s="22">
        <v>40600</v>
      </c>
      <c r="C284" s="2">
        <f t="shared" si="17"/>
        <v>0.00619578686493185</v>
      </c>
      <c r="D284" s="2">
        <f t="shared" si="18"/>
        <v>0.00617667189172914</v>
      </c>
      <c r="E284" s="23">
        <v>0.03088</v>
      </c>
      <c r="F284" s="2">
        <f t="shared" si="16"/>
        <v>0.000118769230769231</v>
      </c>
      <c r="G284" s="2">
        <f t="shared" si="19"/>
        <v>0.00605790266095991</v>
      </c>
    </row>
    <row r="285" spans="1:7">
      <c r="A285" t="s">
        <v>189</v>
      </c>
      <c r="B285" s="22">
        <v>40350</v>
      </c>
      <c r="C285" s="2">
        <f t="shared" si="17"/>
        <v>-0.0061576354679803</v>
      </c>
      <c r="D285" s="2">
        <f t="shared" si="18"/>
        <v>-0.00617667189172917</v>
      </c>
      <c r="E285" s="23">
        <v>0.03097</v>
      </c>
      <c r="F285" s="2">
        <f t="shared" si="16"/>
        <v>0.000119115384615385</v>
      </c>
      <c r="G285" s="2">
        <f t="shared" si="19"/>
        <v>-0.00629578727634456</v>
      </c>
    </row>
    <row r="286" spans="1:7">
      <c r="A286" t="s">
        <v>190</v>
      </c>
      <c r="B286" s="22">
        <v>40200</v>
      </c>
      <c r="C286" s="2">
        <f t="shared" si="17"/>
        <v>-0.00371747211895911</v>
      </c>
      <c r="D286" s="2">
        <f t="shared" si="18"/>
        <v>-0.00372439909098244</v>
      </c>
      <c r="E286" s="23">
        <v>0.0311</v>
      </c>
      <c r="F286" s="2">
        <f t="shared" si="16"/>
        <v>0.000119615384615385</v>
      </c>
      <c r="G286" s="2">
        <f t="shared" si="19"/>
        <v>-0.00384401447559782</v>
      </c>
    </row>
    <row r="287" spans="1:7">
      <c r="A287" t="s">
        <v>191</v>
      </c>
      <c r="B287" s="22">
        <v>40900</v>
      </c>
      <c r="C287" s="2">
        <f t="shared" si="17"/>
        <v>0.0174129353233831</v>
      </c>
      <c r="D287" s="2">
        <f t="shared" si="18"/>
        <v>0.0172630674237808</v>
      </c>
      <c r="E287" s="23">
        <v>0.0299</v>
      </c>
      <c r="F287" s="2">
        <f t="shared" si="16"/>
        <v>0.000115</v>
      </c>
      <c r="G287" s="2">
        <f t="shared" si="19"/>
        <v>0.0171480674237808</v>
      </c>
    </row>
    <row r="288" spans="1:7">
      <c r="A288" t="s">
        <v>192</v>
      </c>
      <c r="B288" s="22">
        <v>41300</v>
      </c>
      <c r="C288" s="2">
        <f t="shared" si="17"/>
        <v>0.0097799511002445</v>
      </c>
      <c r="D288" s="2">
        <f t="shared" si="18"/>
        <v>0.00973243691823105</v>
      </c>
      <c r="E288" s="23">
        <v>0.02985</v>
      </c>
      <c r="F288" s="2">
        <f t="shared" si="16"/>
        <v>0.000114807692307692</v>
      </c>
      <c r="G288" s="2">
        <f t="shared" si="19"/>
        <v>0.00961762922592336</v>
      </c>
    </row>
    <row r="289" spans="1:7">
      <c r="A289" t="s">
        <v>193</v>
      </c>
      <c r="B289" s="22">
        <v>40950</v>
      </c>
      <c r="C289" s="2">
        <f t="shared" si="17"/>
        <v>-0.00847457627118644</v>
      </c>
      <c r="D289" s="2">
        <f t="shared" si="18"/>
        <v>-0.00851068966790862</v>
      </c>
      <c r="E289" s="23">
        <v>0.02973</v>
      </c>
      <c r="F289" s="2">
        <f t="shared" si="16"/>
        <v>0.000114346153846154</v>
      </c>
      <c r="G289" s="2">
        <f t="shared" si="19"/>
        <v>-0.00862503582175477</v>
      </c>
    </row>
    <row r="290" spans="1:7">
      <c r="A290" t="s">
        <v>194</v>
      </c>
      <c r="B290" s="22">
        <v>40650</v>
      </c>
      <c r="C290" s="2">
        <f t="shared" si="17"/>
        <v>-0.00732600732600733</v>
      </c>
      <c r="D290" s="2">
        <f t="shared" si="18"/>
        <v>-0.00735297430525881</v>
      </c>
      <c r="E290" s="23">
        <v>0.02957</v>
      </c>
      <c r="F290" s="2">
        <f t="shared" si="16"/>
        <v>0.000113730769230769</v>
      </c>
      <c r="G290" s="2">
        <f t="shared" si="19"/>
        <v>-0.00746670507448958</v>
      </c>
    </row>
    <row r="291" spans="1:7">
      <c r="A291" s="21">
        <v>45638</v>
      </c>
      <c r="B291" s="22">
        <v>40750</v>
      </c>
      <c r="C291" s="2">
        <f t="shared" si="17"/>
        <v>0.002460024600246</v>
      </c>
      <c r="D291" s="2">
        <f t="shared" si="18"/>
        <v>0.00245700369305208</v>
      </c>
      <c r="E291" s="23">
        <v>0.02953</v>
      </c>
      <c r="F291" s="2">
        <f t="shared" si="16"/>
        <v>0.000113576923076923</v>
      </c>
      <c r="G291" s="2">
        <f t="shared" si="19"/>
        <v>0.00234342676997516</v>
      </c>
    </row>
    <row r="292" spans="1:7">
      <c r="A292" s="21">
        <v>45608</v>
      </c>
      <c r="B292" s="22">
        <v>40850</v>
      </c>
      <c r="C292" s="2">
        <f t="shared" si="17"/>
        <v>0.00245398773006135</v>
      </c>
      <c r="D292" s="2">
        <f t="shared" si="18"/>
        <v>0.00245098161914016</v>
      </c>
      <c r="E292" s="23">
        <v>0.02916</v>
      </c>
      <c r="F292" s="2">
        <f t="shared" si="16"/>
        <v>0.000112153846153846</v>
      </c>
      <c r="G292" s="2">
        <f t="shared" si="19"/>
        <v>0.00233882777298631</v>
      </c>
    </row>
    <row r="293" spans="1:7">
      <c r="A293" s="21">
        <v>45577</v>
      </c>
      <c r="B293" s="22">
        <v>40950</v>
      </c>
      <c r="C293" s="2">
        <f t="shared" si="17"/>
        <v>0.00244798041615667</v>
      </c>
      <c r="D293" s="2">
        <f t="shared" si="18"/>
        <v>0.00244498899306644</v>
      </c>
      <c r="E293" s="23">
        <v>0.02906</v>
      </c>
      <c r="F293" s="2">
        <f t="shared" si="16"/>
        <v>0.000111769230769231</v>
      </c>
      <c r="G293" s="2">
        <f t="shared" si="19"/>
        <v>0.00233321976229721</v>
      </c>
    </row>
    <row r="294" spans="1:7">
      <c r="A294" s="21">
        <v>45547</v>
      </c>
      <c r="B294" s="22">
        <v>41450</v>
      </c>
      <c r="C294" s="2">
        <f t="shared" si="17"/>
        <v>0.0122100122100122</v>
      </c>
      <c r="D294" s="2">
        <f t="shared" si="18"/>
        <v>0.0121360712822255</v>
      </c>
      <c r="E294" s="23">
        <v>0.02911</v>
      </c>
      <c r="F294" s="2">
        <f t="shared" si="16"/>
        <v>0.000111961538461538</v>
      </c>
      <c r="G294" s="2">
        <f t="shared" si="19"/>
        <v>0.012024109743764</v>
      </c>
    </row>
    <row r="295" spans="1:7">
      <c r="A295" s="21">
        <v>45455</v>
      </c>
      <c r="B295" s="22">
        <v>41500</v>
      </c>
      <c r="C295" s="2">
        <f t="shared" si="17"/>
        <v>0.00120627261761158</v>
      </c>
      <c r="D295" s="2">
        <f t="shared" si="18"/>
        <v>0.00120554565534869</v>
      </c>
      <c r="E295" s="23">
        <v>0.02906</v>
      </c>
      <c r="F295" s="2">
        <f t="shared" si="16"/>
        <v>0.000111769230769231</v>
      </c>
      <c r="G295" s="2">
        <f t="shared" si="19"/>
        <v>0.00109377642457946</v>
      </c>
    </row>
    <row r="296" spans="1:7">
      <c r="A296" s="21">
        <v>45424</v>
      </c>
      <c r="B296" s="22">
        <v>41400</v>
      </c>
      <c r="C296" s="2">
        <f t="shared" si="17"/>
        <v>-0.00240963855421687</v>
      </c>
      <c r="D296" s="2">
        <f t="shared" si="18"/>
        <v>-0.00241254640538388</v>
      </c>
      <c r="E296" s="23">
        <v>0.02907</v>
      </c>
      <c r="F296" s="2">
        <f t="shared" si="16"/>
        <v>0.000111807692307692</v>
      </c>
      <c r="G296" s="2">
        <f t="shared" si="19"/>
        <v>-0.00252435409769157</v>
      </c>
    </row>
    <row r="297" spans="1:7">
      <c r="A297" s="21">
        <v>45394</v>
      </c>
      <c r="B297" s="22">
        <v>40100</v>
      </c>
      <c r="C297" s="2">
        <f t="shared" si="17"/>
        <v>-0.0314009661835749</v>
      </c>
      <c r="D297" s="2">
        <f t="shared" si="18"/>
        <v>-0.0319045465187452</v>
      </c>
      <c r="E297" s="23">
        <v>0.02908</v>
      </c>
      <c r="F297" s="2">
        <f t="shared" si="16"/>
        <v>0.000111846153846154</v>
      </c>
      <c r="G297" s="2">
        <f t="shared" si="19"/>
        <v>-0.0320163926725914</v>
      </c>
    </row>
    <row r="298" spans="1:7">
      <c r="A298" s="21">
        <v>45363</v>
      </c>
      <c r="B298" s="22">
        <v>40900</v>
      </c>
      <c r="C298" s="2">
        <f t="shared" si="17"/>
        <v>0.0199501246882793</v>
      </c>
      <c r="D298" s="2">
        <f t="shared" si="18"/>
        <v>0.0197537287362326</v>
      </c>
      <c r="E298" s="23">
        <v>0.02888</v>
      </c>
      <c r="F298" s="2">
        <f t="shared" si="16"/>
        <v>0.000111076923076923</v>
      </c>
      <c r="G298" s="2">
        <f t="shared" si="19"/>
        <v>0.0196426518131557</v>
      </c>
    </row>
    <row r="299" spans="1:7">
      <c r="A299" s="21">
        <v>45334</v>
      </c>
      <c r="B299" s="22">
        <v>40750</v>
      </c>
      <c r="C299" s="2">
        <f t="shared" si="17"/>
        <v>-0.00366748166259169</v>
      </c>
      <c r="D299" s="2">
        <f t="shared" si="18"/>
        <v>-0.00367422336188434</v>
      </c>
      <c r="E299" s="23">
        <v>0.02854</v>
      </c>
      <c r="F299" s="2">
        <f t="shared" si="16"/>
        <v>0.000109769230769231</v>
      </c>
      <c r="G299" s="2">
        <f t="shared" si="19"/>
        <v>-0.00378399259265357</v>
      </c>
    </row>
    <row r="300" spans="1:7">
      <c r="A300" t="s">
        <v>195</v>
      </c>
      <c r="B300" s="22">
        <v>40800</v>
      </c>
      <c r="C300" s="2">
        <f t="shared" si="17"/>
        <v>0.00122699386503067</v>
      </c>
      <c r="D300" s="2">
        <f t="shared" si="18"/>
        <v>0.00122624172324429</v>
      </c>
      <c r="E300" s="23">
        <v>0.02869</v>
      </c>
      <c r="F300" s="2">
        <f t="shared" si="16"/>
        <v>0.000110346153846154</v>
      </c>
      <c r="G300" s="2">
        <f t="shared" si="19"/>
        <v>0.00111589556939814</v>
      </c>
    </row>
    <row r="301" spans="1:7">
      <c r="A301" t="s">
        <v>196</v>
      </c>
      <c r="B301" s="22">
        <v>41100</v>
      </c>
      <c r="C301" s="2">
        <f t="shared" si="17"/>
        <v>0.00735294117647059</v>
      </c>
      <c r="D301" s="2">
        <f t="shared" si="18"/>
        <v>0.00732604009207288</v>
      </c>
      <c r="E301" s="23">
        <v>0.02871</v>
      </c>
      <c r="F301" s="2">
        <f t="shared" si="16"/>
        <v>0.000110423076923077</v>
      </c>
      <c r="G301" s="2">
        <f t="shared" si="19"/>
        <v>0.0072156170151498</v>
      </c>
    </row>
    <row r="302" spans="1:7">
      <c r="A302" t="s">
        <v>197</v>
      </c>
      <c r="B302" s="22">
        <v>41900</v>
      </c>
      <c r="C302" s="2">
        <f t="shared" si="17"/>
        <v>0.0194647201946472</v>
      </c>
      <c r="D302" s="2">
        <f t="shared" si="18"/>
        <v>0.0192777054259031</v>
      </c>
      <c r="E302" s="23">
        <v>0.0287</v>
      </c>
      <c r="F302" s="2">
        <f t="shared" si="16"/>
        <v>0.000110384615384615</v>
      </c>
      <c r="G302" s="2">
        <f t="shared" si="19"/>
        <v>0.0191673208105185</v>
      </c>
    </row>
    <row r="303" spans="1:7">
      <c r="A303" t="s">
        <v>198</v>
      </c>
      <c r="B303" s="22">
        <v>42400</v>
      </c>
      <c r="C303" s="2">
        <f t="shared" si="17"/>
        <v>0.0119331742243437</v>
      </c>
      <c r="D303" s="2">
        <f t="shared" si="18"/>
        <v>0.0118625353098199</v>
      </c>
      <c r="E303" s="23">
        <v>0.02862</v>
      </c>
      <c r="F303" s="2">
        <f t="shared" si="16"/>
        <v>0.000110076923076923</v>
      </c>
      <c r="G303" s="2">
        <f t="shared" si="19"/>
        <v>0.011752458386743</v>
      </c>
    </row>
    <row r="304" spans="1:7">
      <c r="A304" t="s">
        <v>199</v>
      </c>
      <c r="B304" s="22">
        <v>42700</v>
      </c>
      <c r="C304" s="2">
        <f t="shared" si="17"/>
        <v>0.00707547169811321</v>
      </c>
      <c r="D304" s="2">
        <f t="shared" si="18"/>
        <v>0.00705055799666676</v>
      </c>
      <c r="E304" s="23">
        <v>0.0287</v>
      </c>
      <c r="F304" s="2">
        <f t="shared" si="16"/>
        <v>0.000110384615384615</v>
      </c>
      <c r="G304" s="2">
        <f t="shared" si="19"/>
        <v>0.00694017338128215</v>
      </c>
    </row>
    <row r="305" spans="1:7">
      <c r="A305" t="s">
        <v>200</v>
      </c>
      <c r="B305" s="22">
        <v>41600</v>
      </c>
      <c r="C305" s="2">
        <f t="shared" si="17"/>
        <v>-0.0257611241217799</v>
      </c>
      <c r="D305" s="2">
        <f t="shared" si="18"/>
        <v>-0.0260987529673613</v>
      </c>
      <c r="E305" s="23">
        <v>0.0287</v>
      </c>
      <c r="F305" s="2">
        <f t="shared" si="16"/>
        <v>0.000110384615384615</v>
      </c>
      <c r="G305" s="2">
        <f t="shared" si="19"/>
        <v>-0.0262091375827459</v>
      </c>
    </row>
    <row r="306" spans="1:7">
      <c r="A306" t="s">
        <v>201</v>
      </c>
      <c r="B306" s="22">
        <v>43300</v>
      </c>
      <c r="C306" s="2">
        <f t="shared" si="17"/>
        <v>0.0408653846153846</v>
      </c>
      <c r="D306" s="2">
        <f t="shared" si="18"/>
        <v>0.0400524677412265</v>
      </c>
      <c r="E306" s="23">
        <v>0.02871</v>
      </c>
      <c r="F306" s="2">
        <f t="shared" si="16"/>
        <v>0.000110423076923077</v>
      </c>
      <c r="G306" s="2">
        <f t="shared" si="19"/>
        <v>0.0399420446643035</v>
      </c>
    </row>
    <row r="307" spans="1:7">
      <c r="A307" t="s">
        <v>202</v>
      </c>
      <c r="B307" s="22">
        <v>43300</v>
      </c>
      <c r="C307" s="2">
        <f t="shared" si="17"/>
        <v>0</v>
      </c>
      <c r="D307" s="2">
        <f t="shared" si="18"/>
        <v>0</v>
      </c>
      <c r="E307" s="23">
        <v>0.02867</v>
      </c>
      <c r="F307" s="2">
        <f t="shared" si="16"/>
        <v>0.000110269230769231</v>
      </c>
      <c r="G307" s="2">
        <f t="shared" si="19"/>
        <v>-0.000110269230769231</v>
      </c>
    </row>
    <row r="308" spans="1:7">
      <c r="A308" t="s">
        <v>203</v>
      </c>
      <c r="B308" s="22">
        <v>42200</v>
      </c>
      <c r="C308" s="2">
        <f t="shared" si="17"/>
        <v>-0.0254041570438799</v>
      </c>
      <c r="D308" s="2">
        <f t="shared" si="18"/>
        <v>-0.025732413966478</v>
      </c>
      <c r="E308" s="23">
        <v>0.02859</v>
      </c>
      <c r="F308" s="2">
        <f t="shared" si="16"/>
        <v>0.000109961538461538</v>
      </c>
      <c r="G308" s="2">
        <f t="shared" si="19"/>
        <v>-0.0258423755049396</v>
      </c>
    </row>
    <row r="309" spans="1:7">
      <c r="A309" t="s">
        <v>204</v>
      </c>
      <c r="B309" s="22">
        <v>40800</v>
      </c>
      <c r="C309" s="2">
        <f t="shared" si="17"/>
        <v>-0.033175355450237</v>
      </c>
      <c r="D309" s="2">
        <f t="shared" si="18"/>
        <v>-0.0337381396318501</v>
      </c>
      <c r="E309" s="23">
        <v>0.02859</v>
      </c>
      <c r="F309" s="2">
        <f t="shared" si="16"/>
        <v>0.000109961538461538</v>
      </c>
      <c r="G309" s="2">
        <f t="shared" si="19"/>
        <v>-0.0338481011703117</v>
      </c>
    </row>
    <row r="310" spans="1:7">
      <c r="A310" t="s">
        <v>205</v>
      </c>
      <c r="B310" s="22">
        <v>40250</v>
      </c>
      <c r="C310" s="2">
        <f t="shared" si="17"/>
        <v>-0.0134803921568627</v>
      </c>
      <c r="D310" s="2">
        <f t="shared" si="18"/>
        <v>-0.0135720775455436</v>
      </c>
      <c r="E310" s="23">
        <v>0.02859</v>
      </c>
      <c r="F310" s="2">
        <f t="shared" si="16"/>
        <v>0.000109961538461538</v>
      </c>
      <c r="G310" s="2">
        <f t="shared" si="19"/>
        <v>-0.0136820390840051</v>
      </c>
    </row>
    <row r="311" spans="1:7">
      <c r="A311" t="s">
        <v>206</v>
      </c>
      <c r="B311" s="22">
        <v>40350</v>
      </c>
      <c r="C311" s="2">
        <f t="shared" si="17"/>
        <v>0.00248447204968944</v>
      </c>
      <c r="D311" s="2">
        <f t="shared" si="18"/>
        <v>0.00248139085138548</v>
      </c>
      <c r="E311" s="23">
        <v>0.0286</v>
      </c>
      <c r="F311" s="2">
        <f t="shared" si="16"/>
        <v>0.00011</v>
      </c>
      <c r="G311" s="2">
        <f t="shared" si="19"/>
        <v>0.00237139085138548</v>
      </c>
    </row>
    <row r="312" spans="1:7">
      <c r="A312" t="s">
        <v>207</v>
      </c>
      <c r="B312" s="22">
        <v>40300</v>
      </c>
      <c r="C312" s="2">
        <f t="shared" si="17"/>
        <v>-0.00123915737298637</v>
      </c>
      <c r="D312" s="2">
        <f t="shared" si="18"/>
        <v>-0.00123992576332055</v>
      </c>
      <c r="E312" s="23">
        <v>0.02851</v>
      </c>
      <c r="F312" s="2">
        <f t="shared" si="16"/>
        <v>0.000109653846153846</v>
      </c>
      <c r="G312" s="2">
        <f t="shared" si="19"/>
        <v>-0.00134957960947439</v>
      </c>
    </row>
    <row r="313" spans="1:7">
      <c r="A313" s="21">
        <v>45637</v>
      </c>
      <c r="B313" s="22">
        <v>40300</v>
      </c>
      <c r="C313" s="2">
        <f t="shared" si="17"/>
        <v>0</v>
      </c>
      <c r="D313" s="2">
        <f t="shared" si="18"/>
        <v>0</v>
      </c>
      <c r="E313" s="23">
        <v>0.02848</v>
      </c>
      <c r="F313" s="2">
        <f t="shared" si="16"/>
        <v>0.000109538461538462</v>
      </c>
      <c r="G313" s="2">
        <f t="shared" si="19"/>
        <v>-0.000109538461538462</v>
      </c>
    </row>
    <row r="314" spans="1:7">
      <c r="A314" s="21">
        <v>45607</v>
      </c>
      <c r="B314" s="22">
        <v>40600</v>
      </c>
      <c r="C314" s="2">
        <f t="shared" si="17"/>
        <v>0.00744416873449132</v>
      </c>
      <c r="D314" s="2">
        <f t="shared" si="18"/>
        <v>0.00741659765504962</v>
      </c>
      <c r="E314" s="23">
        <v>0.02851</v>
      </c>
      <c r="F314" s="2">
        <f t="shared" si="16"/>
        <v>0.000109653846153846</v>
      </c>
      <c r="G314" s="2">
        <f t="shared" si="19"/>
        <v>0.00730694380889577</v>
      </c>
    </row>
    <row r="315" spans="1:7">
      <c r="A315" s="21">
        <v>45515</v>
      </c>
      <c r="B315" s="22">
        <v>40000</v>
      </c>
      <c r="C315" s="2">
        <f t="shared" si="17"/>
        <v>-0.0147783251231527</v>
      </c>
      <c r="D315" s="2">
        <f t="shared" si="18"/>
        <v>-0.0148886124937506</v>
      </c>
      <c r="E315" s="23">
        <v>0.02843</v>
      </c>
      <c r="F315" s="2">
        <f t="shared" si="16"/>
        <v>0.000109346153846154</v>
      </c>
      <c r="G315" s="2">
        <f t="shared" si="19"/>
        <v>-0.0149979586475968</v>
      </c>
    </row>
    <row r="316" spans="1:7">
      <c r="A316" s="21">
        <v>45484</v>
      </c>
      <c r="B316" s="22">
        <v>41400</v>
      </c>
      <c r="C316" s="2">
        <f t="shared" si="17"/>
        <v>0.035</v>
      </c>
      <c r="D316" s="2">
        <f t="shared" si="18"/>
        <v>0.0344014267173323</v>
      </c>
      <c r="E316" s="23">
        <v>0.02852</v>
      </c>
      <c r="F316" s="2">
        <f t="shared" si="16"/>
        <v>0.000109692307692308</v>
      </c>
      <c r="G316" s="2">
        <f t="shared" si="19"/>
        <v>0.03429173440964</v>
      </c>
    </row>
    <row r="317" spans="1:7">
      <c r="A317" s="21">
        <v>45454</v>
      </c>
      <c r="B317" s="22">
        <v>41550</v>
      </c>
      <c r="C317" s="2">
        <f t="shared" si="17"/>
        <v>0.0036231884057971</v>
      </c>
      <c r="D317" s="2">
        <f t="shared" si="18"/>
        <v>0.00361664047018851</v>
      </c>
      <c r="E317" s="23">
        <v>0.02825</v>
      </c>
      <c r="F317" s="2">
        <f t="shared" si="16"/>
        <v>0.000108653846153846</v>
      </c>
      <c r="G317" s="2">
        <f t="shared" si="19"/>
        <v>0.00350798662403467</v>
      </c>
    </row>
    <row r="318" spans="1:7">
      <c r="A318" s="21">
        <v>45423</v>
      </c>
      <c r="B318" s="22">
        <v>41500</v>
      </c>
      <c r="C318" s="2">
        <f t="shared" si="17"/>
        <v>-0.00120336943441637</v>
      </c>
      <c r="D318" s="2">
        <f t="shared" si="18"/>
        <v>-0.00120409406480456</v>
      </c>
      <c r="E318" s="23">
        <v>0.02827</v>
      </c>
      <c r="F318" s="2">
        <f t="shared" si="16"/>
        <v>0.000108730769230769</v>
      </c>
      <c r="G318" s="2">
        <f t="shared" si="19"/>
        <v>-0.00131282483403533</v>
      </c>
    </row>
    <row r="319" spans="1:7">
      <c r="A319" s="21">
        <v>45393</v>
      </c>
      <c r="B319" s="22">
        <v>41500</v>
      </c>
      <c r="C319" s="2">
        <f t="shared" si="17"/>
        <v>0</v>
      </c>
      <c r="D319" s="2">
        <f t="shared" si="18"/>
        <v>0</v>
      </c>
      <c r="E319" s="23">
        <v>0.02819</v>
      </c>
      <c r="F319" s="2">
        <f t="shared" si="16"/>
        <v>0.000108423076923077</v>
      </c>
      <c r="G319" s="2">
        <f t="shared" si="19"/>
        <v>-0.000108423076923077</v>
      </c>
    </row>
    <row r="320" spans="1:7">
      <c r="A320" s="21">
        <v>45302</v>
      </c>
      <c r="B320" s="22">
        <v>41500</v>
      </c>
      <c r="C320" s="2">
        <f t="shared" si="17"/>
        <v>0</v>
      </c>
      <c r="D320" s="2">
        <f t="shared" si="18"/>
        <v>0</v>
      </c>
      <c r="E320" s="23">
        <v>0.02816</v>
      </c>
      <c r="F320" s="2">
        <f t="shared" si="16"/>
        <v>0.000108307692307692</v>
      </c>
      <c r="G320" s="2">
        <f t="shared" si="19"/>
        <v>-0.000108307692307692</v>
      </c>
    </row>
    <row r="321" spans="1:7">
      <c r="A321" t="s">
        <v>208</v>
      </c>
      <c r="B321" s="22">
        <v>41500</v>
      </c>
      <c r="C321" s="2">
        <f t="shared" si="17"/>
        <v>0</v>
      </c>
      <c r="D321" s="2">
        <f t="shared" si="18"/>
        <v>0</v>
      </c>
      <c r="E321" s="23">
        <v>0.02798</v>
      </c>
      <c r="F321" s="2">
        <f t="shared" si="16"/>
        <v>0.000107615384615385</v>
      </c>
      <c r="G321" s="2">
        <f t="shared" si="19"/>
        <v>-0.000107615384615385</v>
      </c>
    </row>
    <row r="322" spans="1:7">
      <c r="A322" t="s">
        <v>209</v>
      </c>
      <c r="B322" s="22">
        <v>41150</v>
      </c>
      <c r="C322" s="2">
        <f t="shared" si="17"/>
        <v>-0.00843373493975904</v>
      </c>
      <c r="D322" s="2">
        <f t="shared" si="18"/>
        <v>-0.00846950011357383</v>
      </c>
      <c r="E322" s="23">
        <v>0.02792</v>
      </c>
      <c r="F322" s="2">
        <f t="shared" si="16"/>
        <v>0.000107384615384615</v>
      </c>
      <c r="G322" s="2">
        <f t="shared" si="19"/>
        <v>-0.00857688472895845</v>
      </c>
    </row>
    <row r="323" spans="1:7">
      <c r="A323" t="s">
        <v>210</v>
      </c>
      <c r="B323" s="22">
        <v>42750</v>
      </c>
      <c r="C323" s="2">
        <f t="shared" si="17"/>
        <v>0.0388821385176185</v>
      </c>
      <c r="D323" s="2">
        <f t="shared" si="18"/>
        <v>0.0381452682596905</v>
      </c>
      <c r="E323" s="23">
        <v>0.02792</v>
      </c>
      <c r="F323" s="2">
        <f t="shared" ref="F323:F386" si="20">E323/260</f>
        <v>0.000107384615384615</v>
      </c>
      <c r="G323" s="2">
        <f t="shared" si="19"/>
        <v>0.0380378836443059</v>
      </c>
    </row>
    <row r="324" spans="1:7">
      <c r="A324" t="s">
        <v>211</v>
      </c>
      <c r="B324" s="22">
        <v>42700</v>
      </c>
      <c r="C324" s="2">
        <f t="shared" ref="C324:C387" si="21">(B324-B323)/B323</f>
        <v>-0.00116959064327485</v>
      </c>
      <c r="D324" s="2">
        <f t="shared" ref="D324:D387" si="22">LN(B324/B323)</f>
        <v>-0.00117027514819032</v>
      </c>
      <c r="E324" s="23">
        <v>0.02789</v>
      </c>
      <c r="F324" s="2">
        <f t="shared" si="20"/>
        <v>0.000107269230769231</v>
      </c>
      <c r="G324" s="2">
        <f t="shared" ref="G324:G387" si="23">D324-F324</f>
        <v>-0.00127754437895955</v>
      </c>
    </row>
    <row r="325" spans="1:7">
      <c r="A325" t="s">
        <v>212</v>
      </c>
      <c r="B325" s="22">
        <v>43850</v>
      </c>
      <c r="C325" s="2">
        <f t="shared" si="21"/>
        <v>0.0269320843091335</v>
      </c>
      <c r="D325" s="2">
        <f t="shared" si="22"/>
        <v>0.0265757985836131</v>
      </c>
      <c r="E325" s="23">
        <v>0.02796</v>
      </c>
      <c r="F325" s="2">
        <f t="shared" si="20"/>
        <v>0.000107538461538462</v>
      </c>
      <c r="G325" s="2">
        <f t="shared" si="23"/>
        <v>0.0264682601220746</v>
      </c>
    </row>
    <row r="326" spans="1:7">
      <c r="A326" t="s">
        <v>213</v>
      </c>
      <c r="B326" s="22">
        <v>43850</v>
      </c>
      <c r="C326" s="2">
        <f t="shared" si="21"/>
        <v>0</v>
      </c>
      <c r="D326" s="2">
        <f t="shared" si="22"/>
        <v>0</v>
      </c>
      <c r="E326" s="23">
        <v>0.02798</v>
      </c>
      <c r="F326" s="2">
        <f t="shared" si="20"/>
        <v>0.000107615384615385</v>
      </c>
      <c r="G326" s="2">
        <f t="shared" si="23"/>
        <v>-0.000107615384615385</v>
      </c>
    </row>
    <row r="327" spans="1:7">
      <c r="A327" t="s">
        <v>214</v>
      </c>
      <c r="B327" s="22">
        <v>47000</v>
      </c>
      <c r="C327" s="2">
        <f t="shared" si="21"/>
        <v>0.0718358038768529</v>
      </c>
      <c r="D327" s="2">
        <f t="shared" si="22"/>
        <v>0.0693728828918666</v>
      </c>
      <c r="E327" s="23">
        <v>0.02799</v>
      </c>
      <c r="F327" s="2">
        <f t="shared" si="20"/>
        <v>0.000107653846153846</v>
      </c>
      <c r="G327" s="2">
        <f t="shared" si="23"/>
        <v>0.0692652290457128</v>
      </c>
    </row>
    <row r="328" spans="1:7">
      <c r="A328" t="s">
        <v>215</v>
      </c>
      <c r="B328" s="22">
        <v>48250</v>
      </c>
      <c r="C328" s="2">
        <f t="shared" si="21"/>
        <v>0.0265957446808511</v>
      </c>
      <c r="D328" s="2">
        <f t="shared" si="22"/>
        <v>0.0262482260749364</v>
      </c>
      <c r="E328" s="23">
        <v>0.02786</v>
      </c>
      <c r="F328" s="2">
        <f t="shared" si="20"/>
        <v>0.000107153846153846</v>
      </c>
      <c r="G328" s="2">
        <f t="shared" si="23"/>
        <v>0.0261410722287826</v>
      </c>
    </row>
    <row r="329" spans="1:7">
      <c r="A329" t="s">
        <v>216</v>
      </c>
      <c r="B329" s="22">
        <v>47800</v>
      </c>
      <c r="C329" s="2">
        <f t="shared" si="21"/>
        <v>-0.00932642487046632</v>
      </c>
      <c r="D329" s="2">
        <f t="shared" si="22"/>
        <v>-0.00937018828758463</v>
      </c>
      <c r="E329" s="23">
        <v>0.02766</v>
      </c>
      <c r="F329" s="2">
        <f t="shared" si="20"/>
        <v>0.000106384615384615</v>
      </c>
      <c r="G329" s="2">
        <f t="shared" si="23"/>
        <v>-0.00947657290296925</v>
      </c>
    </row>
    <row r="330" spans="1:7">
      <c r="A330" t="s">
        <v>217</v>
      </c>
      <c r="B330" s="22">
        <v>45250</v>
      </c>
      <c r="C330" s="2">
        <f t="shared" si="21"/>
        <v>-0.053347280334728</v>
      </c>
      <c r="D330" s="2">
        <f t="shared" si="22"/>
        <v>-0.0548229693514751</v>
      </c>
      <c r="E330" s="23">
        <v>0.02758</v>
      </c>
      <c r="F330" s="2">
        <f t="shared" si="20"/>
        <v>0.000106076923076923</v>
      </c>
      <c r="G330" s="2">
        <f t="shared" si="23"/>
        <v>-0.0549290462745521</v>
      </c>
    </row>
    <row r="331" spans="1:7">
      <c r="A331" t="s">
        <v>218</v>
      </c>
      <c r="B331" s="22">
        <v>45100</v>
      </c>
      <c r="C331" s="2">
        <f t="shared" si="21"/>
        <v>-0.00331491712707182</v>
      </c>
      <c r="D331" s="2">
        <f t="shared" si="22"/>
        <v>-0.00332042363730241</v>
      </c>
      <c r="E331" s="23">
        <v>0.02756</v>
      </c>
      <c r="F331" s="2">
        <f t="shared" si="20"/>
        <v>0.000106</v>
      </c>
      <c r="G331" s="2">
        <f t="shared" si="23"/>
        <v>-0.00342642363730241</v>
      </c>
    </row>
    <row r="332" spans="1:7">
      <c r="A332" t="s">
        <v>219</v>
      </c>
      <c r="B332" s="22">
        <v>45000</v>
      </c>
      <c r="C332" s="2">
        <f t="shared" si="21"/>
        <v>-0.00221729490022173</v>
      </c>
      <c r="D332" s="2">
        <f t="shared" si="22"/>
        <v>-0.00221975673831289</v>
      </c>
      <c r="E332" s="23">
        <v>0.02753</v>
      </c>
      <c r="F332" s="2">
        <f t="shared" si="20"/>
        <v>0.000105884615384615</v>
      </c>
      <c r="G332" s="2">
        <f t="shared" si="23"/>
        <v>-0.0023256413536975</v>
      </c>
    </row>
    <row r="333" spans="1:7">
      <c r="A333" t="s">
        <v>220</v>
      </c>
      <c r="B333" s="22">
        <v>44650</v>
      </c>
      <c r="C333" s="2">
        <f t="shared" si="21"/>
        <v>-0.00777777777777778</v>
      </c>
      <c r="D333" s="2">
        <f t="shared" si="22"/>
        <v>-0.0078081824478117</v>
      </c>
      <c r="E333" s="23">
        <v>0.02759</v>
      </c>
      <c r="F333" s="2">
        <f t="shared" si="20"/>
        <v>0.000106115384615385</v>
      </c>
      <c r="G333" s="2">
        <f t="shared" si="23"/>
        <v>-0.00791429783242708</v>
      </c>
    </row>
    <row r="334" spans="1:7">
      <c r="A334" t="s">
        <v>221</v>
      </c>
      <c r="B334" s="22">
        <v>45350</v>
      </c>
      <c r="C334" s="2">
        <f t="shared" si="21"/>
        <v>0.0156774916013438</v>
      </c>
      <c r="D334" s="2">
        <f t="shared" si="22"/>
        <v>0.0155558692386376</v>
      </c>
      <c r="E334" s="23">
        <v>0.0276</v>
      </c>
      <c r="F334" s="2">
        <f t="shared" si="20"/>
        <v>0.000106153846153846</v>
      </c>
      <c r="G334" s="2">
        <f t="shared" si="23"/>
        <v>0.0154497153924837</v>
      </c>
    </row>
    <row r="335" spans="1:7">
      <c r="A335" s="21">
        <v>45606</v>
      </c>
      <c r="B335" s="22">
        <v>43600</v>
      </c>
      <c r="C335" s="2">
        <f t="shared" si="21"/>
        <v>-0.0385887541345094</v>
      </c>
      <c r="D335" s="2">
        <f t="shared" si="22"/>
        <v>-0.039353026206157</v>
      </c>
      <c r="E335" s="23">
        <v>0.02757</v>
      </c>
      <c r="F335" s="2">
        <f t="shared" si="20"/>
        <v>0.000106038461538462</v>
      </c>
      <c r="G335" s="2">
        <f t="shared" si="23"/>
        <v>-0.0394590646676954</v>
      </c>
    </row>
    <row r="336" spans="1:7">
      <c r="A336" s="21">
        <v>45575</v>
      </c>
      <c r="B336" s="22">
        <v>42150</v>
      </c>
      <c r="C336" s="2">
        <f t="shared" si="21"/>
        <v>-0.033256880733945</v>
      </c>
      <c r="D336" s="2">
        <f t="shared" si="22"/>
        <v>-0.0338224659071242</v>
      </c>
      <c r="E336" s="23">
        <v>0.02744</v>
      </c>
      <c r="F336" s="2">
        <f t="shared" si="20"/>
        <v>0.000105538461538462</v>
      </c>
      <c r="G336" s="2">
        <f t="shared" si="23"/>
        <v>-0.0339280043686626</v>
      </c>
    </row>
    <row r="337" spans="1:7">
      <c r="A337" s="21">
        <v>45545</v>
      </c>
      <c r="B337" s="22">
        <v>42500</v>
      </c>
      <c r="C337" s="2">
        <f t="shared" si="21"/>
        <v>0.00830367734282325</v>
      </c>
      <c r="D337" s="2">
        <f t="shared" si="22"/>
        <v>0.00826939148250677</v>
      </c>
      <c r="E337" s="23">
        <v>0.02759</v>
      </c>
      <c r="F337" s="2">
        <f t="shared" si="20"/>
        <v>0.000106115384615385</v>
      </c>
      <c r="G337" s="2">
        <f t="shared" si="23"/>
        <v>0.00816327609789138</v>
      </c>
    </row>
    <row r="338" spans="1:7">
      <c r="A338" s="21">
        <v>45514</v>
      </c>
      <c r="B338" s="22">
        <v>41600</v>
      </c>
      <c r="C338" s="2">
        <f t="shared" si="21"/>
        <v>-0.0211764705882353</v>
      </c>
      <c r="D338" s="2">
        <f t="shared" si="22"/>
        <v>-0.0214039086631535</v>
      </c>
      <c r="E338" s="23">
        <v>0.02759</v>
      </c>
      <c r="F338" s="2">
        <f t="shared" si="20"/>
        <v>0.000106115384615385</v>
      </c>
      <c r="G338" s="2">
        <f t="shared" si="23"/>
        <v>-0.0215100240477689</v>
      </c>
    </row>
    <row r="339" spans="1:7">
      <c r="A339" s="21">
        <v>45483</v>
      </c>
      <c r="B339" s="22">
        <v>41200</v>
      </c>
      <c r="C339" s="2">
        <f t="shared" si="21"/>
        <v>-0.00961538461538462</v>
      </c>
      <c r="D339" s="2">
        <f t="shared" si="22"/>
        <v>-0.00966191091173686</v>
      </c>
      <c r="E339" s="23">
        <v>0.02762</v>
      </c>
      <c r="F339" s="2">
        <f t="shared" si="20"/>
        <v>0.000106230769230769</v>
      </c>
      <c r="G339" s="2">
        <f t="shared" si="23"/>
        <v>-0.00976814168096763</v>
      </c>
    </row>
    <row r="340" spans="1:7">
      <c r="A340" s="21">
        <v>45392</v>
      </c>
      <c r="B340" s="22">
        <v>41500</v>
      </c>
      <c r="C340" s="2">
        <f t="shared" si="21"/>
        <v>0.00728155339805825</v>
      </c>
      <c r="D340" s="2">
        <f t="shared" si="22"/>
        <v>0.00725517088117202</v>
      </c>
      <c r="E340" s="23">
        <v>0.02768</v>
      </c>
      <c r="F340" s="2">
        <f t="shared" si="20"/>
        <v>0.000106461538461538</v>
      </c>
      <c r="G340" s="2">
        <f t="shared" si="23"/>
        <v>0.00714870934271048</v>
      </c>
    </row>
    <row r="341" spans="1:7">
      <c r="A341" s="21">
        <v>45361</v>
      </c>
      <c r="B341" s="22">
        <v>41600</v>
      </c>
      <c r="C341" s="2">
        <f t="shared" si="21"/>
        <v>0.00240963855421687</v>
      </c>
      <c r="D341" s="2">
        <f t="shared" si="22"/>
        <v>0.00240674003056506</v>
      </c>
      <c r="E341" s="23">
        <v>0.02763</v>
      </c>
      <c r="F341" s="2">
        <f t="shared" si="20"/>
        <v>0.000106269230769231</v>
      </c>
      <c r="G341" s="2">
        <f t="shared" si="23"/>
        <v>0.00230047079979583</v>
      </c>
    </row>
    <row r="342" spans="1:7">
      <c r="A342" s="21">
        <v>45332</v>
      </c>
      <c r="B342" s="22">
        <v>43400</v>
      </c>
      <c r="C342" s="2">
        <f t="shared" si="21"/>
        <v>0.0432692307692308</v>
      </c>
      <c r="D342" s="2">
        <f t="shared" si="22"/>
        <v>0.0423592738391416</v>
      </c>
      <c r="E342" s="23">
        <v>0.02764</v>
      </c>
      <c r="F342" s="2">
        <f t="shared" si="20"/>
        <v>0.000106307692307692</v>
      </c>
      <c r="G342" s="2">
        <f t="shared" si="23"/>
        <v>0.042252966146834</v>
      </c>
    </row>
    <row r="343" spans="1:7">
      <c r="A343" s="21">
        <v>45301</v>
      </c>
      <c r="B343" s="22">
        <v>43450</v>
      </c>
      <c r="C343" s="2">
        <f t="shared" si="21"/>
        <v>0.00115207373271889</v>
      </c>
      <c r="D343" s="2">
        <f t="shared" si="22"/>
        <v>0.00115141060504184</v>
      </c>
      <c r="E343" s="23">
        <v>0.02764</v>
      </c>
      <c r="F343" s="2">
        <f t="shared" si="20"/>
        <v>0.000106307692307692</v>
      </c>
      <c r="G343" s="2">
        <f t="shared" si="23"/>
        <v>0.00104510291273414</v>
      </c>
    </row>
    <row r="344" spans="1:7">
      <c r="A344" t="s">
        <v>222</v>
      </c>
      <c r="B344" s="22">
        <v>42800</v>
      </c>
      <c r="C344" s="2">
        <f t="shared" si="21"/>
        <v>-0.0149597238204833</v>
      </c>
      <c r="D344" s="2">
        <f t="shared" si="22"/>
        <v>-0.0150727491236499</v>
      </c>
      <c r="E344" s="23">
        <v>0.02768</v>
      </c>
      <c r="F344" s="2">
        <f t="shared" si="20"/>
        <v>0.000106461538461538</v>
      </c>
      <c r="G344" s="2">
        <f t="shared" si="23"/>
        <v>-0.0151792106621114</v>
      </c>
    </row>
    <row r="345" spans="1:7">
      <c r="A345" t="s">
        <v>223</v>
      </c>
      <c r="B345" s="22">
        <v>43400</v>
      </c>
      <c r="C345" s="2">
        <f t="shared" si="21"/>
        <v>0.014018691588785</v>
      </c>
      <c r="D345" s="2">
        <f t="shared" si="22"/>
        <v>0.013921338518608</v>
      </c>
      <c r="E345" s="23">
        <v>0.0275</v>
      </c>
      <c r="F345" s="2">
        <f t="shared" si="20"/>
        <v>0.000105769230769231</v>
      </c>
      <c r="G345" s="2">
        <f t="shared" si="23"/>
        <v>0.0138155692878388</v>
      </c>
    </row>
    <row r="346" spans="1:7">
      <c r="A346" t="s">
        <v>224</v>
      </c>
      <c r="B346" s="22">
        <v>44400</v>
      </c>
      <c r="C346" s="2">
        <f t="shared" si="21"/>
        <v>0.0230414746543779</v>
      </c>
      <c r="D346" s="2">
        <f t="shared" si="22"/>
        <v>0.0227800283318199</v>
      </c>
      <c r="E346" s="23">
        <v>0.02759</v>
      </c>
      <c r="F346" s="2">
        <f t="shared" si="20"/>
        <v>0.000106115384615385</v>
      </c>
      <c r="G346" s="2">
        <f t="shared" si="23"/>
        <v>0.0226739129472045</v>
      </c>
    </row>
    <row r="347" spans="1:7">
      <c r="A347" t="s">
        <v>225</v>
      </c>
      <c r="B347" s="22">
        <v>44150</v>
      </c>
      <c r="C347" s="2">
        <f t="shared" si="21"/>
        <v>-0.00563063063063063</v>
      </c>
      <c r="D347" s="2">
        <f t="shared" si="22"/>
        <v>-0.00564654238821005</v>
      </c>
      <c r="E347" s="23">
        <v>0.02767</v>
      </c>
      <c r="F347" s="2">
        <f t="shared" si="20"/>
        <v>0.000106423076923077</v>
      </c>
      <c r="G347" s="2">
        <f t="shared" si="23"/>
        <v>-0.00575296546513313</v>
      </c>
    </row>
    <row r="348" spans="1:7">
      <c r="A348" t="s">
        <v>226</v>
      </c>
      <c r="B348" s="22">
        <v>44250</v>
      </c>
      <c r="C348" s="2">
        <f t="shared" si="21"/>
        <v>0.00226500566251416</v>
      </c>
      <c r="D348" s="2">
        <f t="shared" si="22"/>
        <v>0.00226244440396954</v>
      </c>
      <c r="E348" s="23">
        <v>0.0276</v>
      </c>
      <c r="F348" s="2">
        <f t="shared" si="20"/>
        <v>0.000106153846153846</v>
      </c>
      <c r="G348" s="2">
        <f t="shared" si="23"/>
        <v>0.0021562905578157</v>
      </c>
    </row>
    <row r="349" spans="1:7">
      <c r="A349" t="s">
        <v>227</v>
      </c>
      <c r="B349" s="22">
        <v>43650</v>
      </c>
      <c r="C349" s="2">
        <f t="shared" si="21"/>
        <v>-0.0135593220338983</v>
      </c>
      <c r="D349" s="2">
        <f t="shared" si="22"/>
        <v>-0.0136520891683273</v>
      </c>
      <c r="E349" s="23">
        <v>0.02767</v>
      </c>
      <c r="F349" s="2">
        <f t="shared" si="20"/>
        <v>0.000106423076923077</v>
      </c>
      <c r="G349" s="2">
        <f t="shared" si="23"/>
        <v>-0.0137585122452504</v>
      </c>
    </row>
    <row r="350" spans="1:7">
      <c r="A350" t="s">
        <v>228</v>
      </c>
      <c r="B350" s="22">
        <v>43750</v>
      </c>
      <c r="C350" s="2">
        <f t="shared" si="21"/>
        <v>0.00229095074455899</v>
      </c>
      <c r="D350" s="2">
        <f t="shared" si="22"/>
        <v>0.00228833051801222</v>
      </c>
      <c r="E350" s="23">
        <v>0.02771</v>
      </c>
      <c r="F350" s="2">
        <f t="shared" si="20"/>
        <v>0.000106576923076923</v>
      </c>
      <c r="G350" s="2">
        <f t="shared" si="23"/>
        <v>0.00218175359493529</v>
      </c>
    </row>
    <row r="351" spans="1:7">
      <c r="A351" t="s">
        <v>229</v>
      </c>
      <c r="B351" s="22">
        <v>44150</v>
      </c>
      <c r="C351" s="2">
        <f t="shared" si="21"/>
        <v>0.00914285714285714</v>
      </c>
      <c r="D351" s="2">
        <f t="shared" si="22"/>
        <v>0.00910131424634556</v>
      </c>
      <c r="E351" s="23">
        <v>0.02786</v>
      </c>
      <c r="F351" s="2">
        <f t="shared" si="20"/>
        <v>0.000107153846153846</v>
      </c>
      <c r="G351" s="2">
        <f t="shared" si="23"/>
        <v>0.00899416040019172</v>
      </c>
    </row>
    <row r="352" spans="1:7">
      <c r="A352" t="s">
        <v>230</v>
      </c>
      <c r="B352" s="22">
        <v>43900</v>
      </c>
      <c r="C352" s="2">
        <f t="shared" si="21"/>
        <v>-0.00566251415628539</v>
      </c>
      <c r="D352" s="2">
        <f t="shared" si="22"/>
        <v>-0.00567860696884334</v>
      </c>
      <c r="E352" s="23">
        <v>0.02801</v>
      </c>
      <c r="F352" s="2">
        <f t="shared" si="20"/>
        <v>0.000107730769230769</v>
      </c>
      <c r="G352" s="2">
        <f t="shared" si="23"/>
        <v>-0.00578633773807411</v>
      </c>
    </row>
    <row r="353" spans="1:7">
      <c r="A353" t="s">
        <v>231</v>
      </c>
      <c r="B353" s="22">
        <v>44000</v>
      </c>
      <c r="C353" s="2">
        <f t="shared" si="21"/>
        <v>0.00227790432801822</v>
      </c>
      <c r="D353" s="2">
        <f t="shared" si="22"/>
        <v>0.00227531383713561</v>
      </c>
      <c r="E353" s="23">
        <v>0.02783</v>
      </c>
      <c r="F353" s="2">
        <f t="shared" si="20"/>
        <v>0.000107038461538462</v>
      </c>
      <c r="G353" s="2">
        <f t="shared" si="23"/>
        <v>0.00216827537559714</v>
      </c>
    </row>
    <row r="354" spans="1:7">
      <c r="A354" t="s">
        <v>232</v>
      </c>
      <c r="B354" s="22">
        <v>41750</v>
      </c>
      <c r="C354" s="2">
        <f t="shared" si="21"/>
        <v>-0.0511363636363636</v>
      </c>
      <c r="D354" s="2">
        <f t="shared" si="22"/>
        <v>-0.0524901826213967</v>
      </c>
      <c r="E354" s="23">
        <v>0.02799</v>
      </c>
      <c r="F354" s="2">
        <f t="shared" si="20"/>
        <v>0.000107653846153846</v>
      </c>
      <c r="G354" s="2">
        <f t="shared" si="23"/>
        <v>-0.0525978364675505</v>
      </c>
    </row>
    <row r="355" spans="1:7">
      <c r="A355" t="s">
        <v>233</v>
      </c>
      <c r="B355" s="22">
        <v>43000</v>
      </c>
      <c r="C355" s="2">
        <f t="shared" si="21"/>
        <v>0.029940119760479</v>
      </c>
      <c r="D355" s="2">
        <f t="shared" si="22"/>
        <v>0.0295006643966978</v>
      </c>
      <c r="E355" s="23">
        <v>0.02802</v>
      </c>
      <c r="F355" s="2">
        <f t="shared" si="20"/>
        <v>0.000107769230769231</v>
      </c>
      <c r="G355" s="2">
        <f t="shared" si="23"/>
        <v>0.0293928951659286</v>
      </c>
    </row>
    <row r="356" spans="1:7">
      <c r="A356" s="21">
        <v>45635</v>
      </c>
      <c r="B356" s="22">
        <v>43100</v>
      </c>
      <c r="C356" s="2">
        <f t="shared" si="21"/>
        <v>0.00232558139534884</v>
      </c>
      <c r="D356" s="2">
        <f t="shared" si="22"/>
        <v>0.00232288141613973</v>
      </c>
      <c r="E356" s="23">
        <v>0.02801</v>
      </c>
      <c r="F356" s="2">
        <f t="shared" si="20"/>
        <v>0.000107730769230769</v>
      </c>
      <c r="G356" s="2">
        <f t="shared" si="23"/>
        <v>0.00221515064690896</v>
      </c>
    </row>
    <row r="357" spans="1:7">
      <c r="A357" s="21">
        <v>45605</v>
      </c>
      <c r="B357" s="22">
        <v>43000</v>
      </c>
      <c r="C357" s="2">
        <f t="shared" si="21"/>
        <v>-0.00232018561484919</v>
      </c>
      <c r="D357" s="2">
        <f t="shared" si="22"/>
        <v>-0.00232288141613964</v>
      </c>
      <c r="E357" s="23">
        <v>0.02809</v>
      </c>
      <c r="F357" s="2">
        <f t="shared" si="20"/>
        <v>0.000108038461538462</v>
      </c>
      <c r="G357" s="2">
        <f t="shared" si="23"/>
        <v>-0.0024309198776781</v>
      </c>
    </row>
    <row r="358" spans="1:7">
      <c r="A358" s="21">
        <v>45574</v>
      </c>
      <c r="B358" s="22">
        <v>42800</v>
      </c>
      <c r="C358" s="2">
        <f t="shared" si="21"/>
        <v>-0.00465116279069767</v>
      </c>
      <c r="D358" s="2">
        <f t="shared" si="22"/>
        <v>-0.0046620131058113</v>
      </c>
      <c r="E358" s="23">
        <v>0.02808</v>
      </c>
      <c r="F358" s="2">
        <f t="shared" si="20"/>
        <v>0.000108</v>
      </c>
      <c r="G358" s="2">
        <f t="shared" si="23"/>
        <v>-0.0047700131058113</v>
      </c>
    </row>
    <row r="359" spans="1:7">
      <c r="A359" s="21">
        <v>45544</v>
      </c>
      <c r="B359" s="22">
        <v>43000</v>
      </c>
      <c r="C359" s="2">
        <f t="shared" si="21"/>
        <v>0.00467289719626168</v>
      </c>
      <c r="D359" s="2">
        <f t="shared" si="22"/>
        <v>0.00466201310581137</v>
      </c>
      <c r="E359" s="23">
        <v>0.02808</v>
      </c>
      <c r="F359" s="2">
        <f t="shared" si="20"/>
        <v>0.000108</v>
      </c>
      <c r="G359" s="2">
        <f t="shared" si="23"/>
        <v>0.00455401310581137</v>
      </c>
    </row>
    <row r="360" spans="1:7">
      <c r="A360" s="21">
        <v>45452</v>
      </c>
      <c r="B360" s="22">
        <v>43900</v>
      </c>
      <c r="C360" s="2">
        <f t="shared" si="21"/>
        <v>0.0209302325581395</v>
      </c>
      <c r="D360" s="2">
        <f t="shared" si="22"/>
        <v>0.0207142043875632</v>
      </c>
      <c r="E360" s="23">
        <v>0.02827</v>
      </c>
      <c r="F360" s="2">
        <f t="shared" si="20"/>
        <v>0.000108730769230769</v>
      </c>
      <c r="G360" s="2">
        <f t="shared" si="23"/>
        <v>0.0206054736183325</v>
      </c>
    </row>
    <row r="361" spans="1:7">
      <c r="A361" s="21">
        <v>45421</v>
      </c>
      <c r="B361" s="22">
        <v>43750</v>
      </c>
      <c r="C361" s="2">
        <f t="shared" si="21"/>
        <v>-0.00341685649202733</v>
      </c>
      <c r="D361" s="2">
        <f t="shared" si="22"/>
        <v>-0.00342270727750228</v>
      </c>
      <c r="E361" s="23">
        <v>0.02836</v>
      </c>
      <c r="F361" s="2">
        <f t="shared" si="20"/>
        <v>0.000109076923076923</v>
      </c>
      <c r="G361" s="2">
        <f t="shared" si="23"/>
        <v>-0.00353178420057921</v>
      </c>
    </row>
    <row r="362" spans="1:7">
      <c r="A362" s="21">
        <v>45391</v>
      </c>
      <c r="B362" s="22">
        <v>42500</v>
      </c>
      <c r="C362" s="2">
        <f t="shared" si="21"/>
        <v>-0.0285714285714286</v>
      </c>
      <c r="D362" s="2">
        <f t="shared" si="22"/>
        <v>-0.0289875368732523</v>
      </c>
      <c r="E362" s="23">
        <v>0.02826</v>
      </c>
      <c r="F362" s="2">
        <f t="shared" si="20"/>
        <v>0.000108692307692308</v>
      </c>
      <c r="G362" s="2">
        <f t="shared" si="23"/>
        <v>-0.0290962291809446</v>
      </c>
    </row>
    <row r="363" spans="1:7">
      <c r="A363" t="s">
        <v>234</v>
      </c>
      <c r="B363" s="22">
        <v>41500</v>
      </c>
      <c r="C363" s="2">
        <f t="shared" si="21"/>
        <v>-0.0235294117647059</v>
      </c>
      <c r="D363" s="2">
        <f t="shared" si="22"/>
        <v>-0.0238106486937186</v>
      </c>
      <c r="E363" s="23">
        <v>0.0283</v>
      </c>
      <c r="F363" s="2">
        <f t="shared" si="20"/>
        <v>0.000108846153846154</v>
      </c>
      <c r="G363" s="2">
        <f t="shared" si="23"/>
        <v>-0.0239194948475647</v>
      </c>
    </row>
    <row r="364" spans="1:7">
      <c r="A364" t="s">
        <v>235</v>
      </c>
      <c r="B364" s="22">
        <v>41500</v>
      </c>
      <c r="C364" s="2">
        <f t="shared" si="21"/>
        <v>0</v>
      </c>
      <c r="D364" s="2">
        <f t="shared" si="22"/>
        <v>0</v>
      </c>
      <c r="E364" s="23">
        <v>0.02823</v>
      </c>
      <c r="F364" s="2">
        <f t="shared" si="20"/>
        <v>0.000108576923076923</v>
      </c>
      <c r="G364" s="2">
        <f t="shared" si="23"/>
        <v>-0.000108576923076923</v>
      </c>
    </row>
    <row r="365" spans="1:7">
      <c r="A365" t="s">
        <v>236</v>
      </c>
      <c r="B365" s="22">
        <v>40900</v>
      </c>
      <c r="C365" s="2">
        <f t="shared" si="21"/>
        <v>-0.0144578313253012</v>
      </c>
      <c r="D365" s="2">
        <f t="shared" si="22"/>
        <v>-0.0145633641878966</v>
      </c>
      <c r="E365" s="23">
        <v>0.02829</v>
      </c>
      <c r="F365" s="2">
        <f t="shared" si="20"/>
        <v>0.000108807692307692</v>
      </c>
      <c r="G365" s="2">
        <f t="shared" si="23"/>
        <v>-0.0146721718802042</v>
      </c>
    </row>
    <row r="366" spans="1:7">
      <c r="A366" t="s">
        <v>237</v>
      </c>
      <c r="B366" s="22">
        <v>41400</v>
      </c>
      <c r="C366" s="2">
        <f t="shared" si="21"/>
        <v>0.0122249388753056</v>
      </c>
      <c r="D366" s="2">
        <f t="shared" si="22"/>
        <v>0.0121508177825125</v>
      </c>
      <c r="E366" s="23">
        <v>0.02821</v>
      </c>
      <c r="F366" s="2">
        <f t="shared" si="20"/>
        <v>0.0001085</v>
      </c>
      <c r="G366" s="2">
        <f t="shared" si="23"/>
        <v>0.0120423177825125</v>
      </c>
    </row>
    <row r="367" spans="1:7">
      <c r="A367" t="s">
        <v>238</v>
      </c>
      <c r="B367" s="22">
        <v>40500</v>
      </c>
      <c r="C367" s="2">
        <f t="shared" si="21"/>
        <v>-0.0217391304347826</v>
      </c>
      <c r="D367" s="2">
        <f t="shared" si="22"/>
        <v>-0.0219789067187752</v>
      </c>
      <c r="E367" s="23">
        <v>0.02815</v>
      </c>
      <c r="F367" s="2">
        <f t="shared" si="20"/>
        <v>0.000108269230769231</v>
      </c>
      <c r="G367" s="2">
        <f t="shared" si="23"/>
        <v>-0.0220871759495445</v>
      </c>
    </row>
    <row r="368" spans="1:7">
      <c r="A368" t="s">
        <v>239</v>
      </c>
      <c r="B368" s="22">
        <v>39750</v>
      </c>
      <c r="C368" s="2">
        <f t="shared" si="21"/>
        <v>-0.0185185185185185</v>
      </c>
      <c r="D368" s="2">
        <f t="shared" si="22"/>
        <v>-0.0186921330121525</v>
      </c>
      <c r="E368" s="23">
        <v>0.02824</v>
      </c>
      <c r="F368" s="2">
        <f t="shared" si="20"/>
        <v>0.000108615384615385</v>
      </c>
      <c r="G368" s="2">
        <f t="shared" si="23"/>
        <v>-0.0188007483967679</v>
      </c>
    </row>
    <row r="369" spans="1:7">
      <c r="A369" t="s">
        <v>240</v>
      </c>
      <c r="B369" s="22">
        <v>39800</v>
      </c>
      <c r="C369" s="2">
        <f t="shared" si="21"/>
        <v>0.00125786163522013</v>
      </c>
      <c r="D369" s="2">
        <f t="shared" si="22"/>
        <v>0.00125707119005111</v>
      </c>
      <c r="E369" s="23">
        <v>0.02813</v>
      </c>
      <c r="F369" s="2">
        <f t="shared" si="20"/>
        <v>0.000108192307692308</v>
      </c>
      <c r="G369" s="2">
        <f t="shared" si="23"/>
        <v>0.00114887888235881</v>
      </c>
    </row>
    <row r="370" spans="1:7">
      <c r="A370" t="s">
        <v>241</v>
      </c>
      <c r="B370" s="22">
        <v>39750</v>
      </c>
      <c r="C370" s="2">
        <f t="shared" si="21"/>
        <v>-0.00125628140703518</v>
      </c>
      <c r="D370" s="2">
        <f t="shared" si="22"/>
        <v>-0.00125707119005109</v>
      </c>
      <c r="E370" s="23">
        <v>0.02828</v>
      </c>
      <c r="F370" s="2">
        <f t="shared" si="20"/>
        <v>0.000108769230769231</v>
      </c>
      <c r="G370" s="2">
        <f t="shared" si="23"/>
        <v>-0.00136584042082032</v>
      </c>
    </row>
    <row r="371" spans="1:7">
      <c r="A371" t="s">
        <v>242</v>
      </c>
      <c r="B371" s="22">
        <v>39400</v>
      </c>
      <c r="C371" s="2">
        <f t="shared" si="21"/>
        <v>-0.00880503144654088</v>
      </c>
      <c r="D371" s="2">
        <f t="shared" si="22"/>
        <v>-0.00884402479645277</v>
      </c>
      <c r="E371" s="23">
        <v>0.02832</v>
      </c>
      <c r="F371" s="2">
        <f t="shared" si="20"/>
        <v>0.000108923076923077</v>
      </c>
      <c r="G371" s="2">
        <f t="shared" si="23"/>
        <v>-0.00895294787337585</v>
      </c>
    </row>
    <row r="372" spans="1:7">
      <c r="A372" t="s">
        <v>243</v>
      </c>
      <c r="B372" s="22">
        <v>38600</v>
      </c>
      <c r="C372" s="2">
        <f t="shared" si="21"/>
        <v>-0.0203045685279188</v>
      </c>
      <c r="D372" s="2">
        <f t="shared" si="22"/>
        <v>-0.0205135398331029</v>
      </c>
      <c r="E372" s="23">
        <v>0.02843</v>
      </c>
      <c r="F372" s="2">
        <f t="shared" si="20"/>
        <v>0.000109346153846154</v>
      </c>
      <c r="G372" s="2">
        <f t="shared" si="23"/>
        <v>-0.0206228859869491</v>
      </c>
    </row>
    <row r="373" spans="1:7">
      <c r="A373" t="s">
        <v>244</v>
      </c>
      <c r="B373" s="22">
        <v>38400</v>
      </c>
      <c r="C373" s="2">
        <f t="shared" si="21"/>
        <v>-0.00518134715025907</v>
      </c>
      <c r="D373" s="2">
        <f t="shared" si="22"/>
        <v>-0.00519481687710402</v>
      </c>
      <c r="E373" s="23">
        <v>0.02838</v>
      </c>
      <c r="F373" s="2">
        <f t="shared" si="20"/>
        <v>0.000109153846153846</v>
      </c>
      <c r="G373" s="2">
        <f t="shared" si="23"/>
        <v>-0.00530397072325787</v>
      </c>
    </row>
    <row r="374" spans="1:7">
      <c r="A374" t="s">
        <v>245</v>
      </c>
      <c r="B374" s="22">
        <v>37850</v>
      </c>
      <c r="C374" s="2">
        <f t="shared" si="21"/>
        <v>-0.0143229166666667</v>
      </c>
      <c r="D374" s="2">
        <f t="shared" si="22"/>
        <v>-0.0144264797102234</v>
      </c>
      <c r="E374" s="23">
        <v>0.02845</v>
      </c>
      <c r="F374" s="2">
        <f t="shared" si="20"/>
        <v>0.000109423076923077</v>
      </c>
      <c r="G374" s="2">
        <f t="shared" si="23"/>
        <v>-0.0145359027871464</v>
      </c>
    </row>
    <row r="375" spans="1:7">
      <c r="A375" t="s">
        <v>246</v>
      </c>
      <c r="B375" s="22">
        <v>37200</v>
      </c>
      <c r="C375" s="2">
        <f t="shared" si="21"/>
        <v>-0.0171730515191546</v>
      </c>
      <c r="D375" s="2">
        <f t="shared" si="22"/>
        <v>-0.017322218604357</v>
      </c>
      <c r="E375" s="23">
        <v>0.02843</v>
      </c>
      <c r="F375" s="2">
        <f t="shared" si="20"/>
        <v>0.000109346153846154</v>
      </c>
      <c r="G375" s="2">
        <f t="shared" si="23"/>
        <v>-0.0174315647582031</v>
      </c>
    </row>
    <row r="376" spans="1:7">
      <c r="A376" t="s">
        <v>247</v>
      </c>
      <c r="B376" s="22">
        <v>36350</v>
      </c>
      <c r="C376" s="2">
        <f t="shared" si="21"/>
        <v>-0.0228494623655914</v>
      </c>
      <c r="D376" s="2">
        <f t="shared" si="22"/>
        <v>-0.0231145572995725</v>
      </c>
      <c r="E376" s="23">
        <v>0.02849</v>
      </c>
      <c r="F376" s="2">
        <f t="shared" si="20"/>
        <v>0.000109576923076923</v>
      </c>
      <c r="G376" s="2">
        <f t="shared" si="23"/>
        <v>-0.0232241342226494</v>
      </c>
    </row>
    <row r="377" spans="1:7">
      <c r="A377" s="21">
        <v>45634</v>
      </c>
      <c r="B377" s="22">
        <v>36500</v>
      </c>
      <c r="C377" s="2">
        <f t="shared" si="21"/>
        <v>0.00412654745529574</v>
      </c>
      <c r="D377" s="2">
        <f t="shared" si="22"/>
        <v>0.00411805660891755</v>
      </c>
      <c r="E377" s="23">
        <v>0.02853</v>
      </c>
      <c r="F377" s="2">
        <f t="shared" si="20"/>
        <v>0.000109730769230769</v>
      </c>
      <c r="G377" s="2">
        <f t="shared" si="23"/>
        <v>0.00400832583968678</v>
      </c>
    </row>
    <row r="378" spans="1:7">
      <c r="A378" s="21">
        <v>45543</v>
      </c>
      <c r="B378" s="22">
        <v>37200</v>
      </c>
      <c r="C378" s="2">
        <f t="shared" si="21"/>
        <v>0.0191780821917808</v>
      </c>
      <c r="D378" s="2">
        <f t="shared" si="22"/>
        <v>0.0189965006906551</v>
      </c>
      <c r="E378" s="23">
        <v>0.02868</v>
      </c>
      <c r="F378" s="2">
        <f t="shared" si="20"/>
        <v>0.000110307692307692</v>
      </c>
      <c r="G378" s="2">
        <f t="shared" si="23"/>
        <v>0.0188861929983474</v>
      </c>
    </row>
    <row r="379" spans="1:7">
      <c r="A379" s="21">
        <v>45512</v>
      </c>
      <c r="B379" s="22">
        <v>37600</v>
      </c>
      <c r="C379" s="2">
        <f t="shared" si="21"/>
        <v>0.010752688172043</v>
      </c>
      <c r="D379" s="2">
        <f t="shared" si="22"/>
        <v>0.010695289116748</v>
      </c>
      <c r="E379" s="23">
        <v>0.02853</v>
      </c>
      <c r="F379" s="2">
        <f t="shared" si="20"/>
        <v>0.000109730769230769</v>
      </c>
      <c r="G379" s="2">
        <f t="shared" si="23"/>
        <v>0.0105855583475172</v>
      </c>
    </row>
    <row r="380" spans="1:7">
      <c r="A380" s="21">
        <v>45481</v>
      </c>
      <c r="B380" s="22">
        <v>37200</v>
      </c>
      <c r="C380" s="2">
        <f t="shared" si="21"/>
        <v>-0.0106382978723404</v>
      </c>
      <c r="D380" s="2">
        <f t="shared" si="22"/>
        <v>-0.0106952891167479</v>
      </c>
      <c r="E380" s="23">
        <v>0.02862</v>
      </c>
      <c r="F380" s="2">
        <f t="shared" si="20"/>
        <v>0.000110076923076923</v>
      </c>
      <c r="G380" s="2">
        <f t="shared" si="23"/>
        <v>-0.0108053660398248</v>
      </c>
    </row>
    <row r="381" spans="1:7">
      <c r="A381" s="21">
        <v>45451</v>
      </c>
      <c r="B381" s="22">
        <v>34800</v>
      </c>
      <c r="C381" s="2">
        <f t="shared" si="21"/>
        <v>-0.0645161290322581</v>
      </c>
      <c r="D381" s="2">
        <f t="shared" si="22"/>
        <v>-0.0666913744986723</v>
      </c>
      <c r="E381" s="23">
        <v>0.02868</v>
      </c>
      <c r="F381" s="2">
        <f t="shared" si="20"/>
        <v>0.000110307692307692</v>
      </c>
      <c r="G381" s="2">
        <f t="shared" si="23"/>
        <v>-0.06680168219098</v>
      </c>
    </row>
    <row r="382" spans="1:7">
      <c r="A382" s="21">
        <v>45420</v>
      </c>
      <c r="B382" s="22">
        <v>34500</v>
      </c>
      <c r="C382" s="2">
        <f t="shared" si="21"/>
        <v>-0.00862068965517241</v>
      </c>
      <c r="D382" s="2">
        <f t="shared" si="22"/>
        <v>-0.00865806274311454</v>
      </c>
      <c r="E382" s="23">
        <v>0.02892</v>
      </c>
      <c r="F382" s="2">
        <f t="shared" si="20"/>
        <v>0.000111230769230769</v>
      </c>
      <c r="G382" s="2">
        <f t="shared" si="23"/>
        <v>-0.00876929351234531</v>
      </c>
    </row>
    <row r="383" spans="1:7">
      <c r="A383" s="21">
        <v>45330</v>
      </c>
      <c r="B383" s="22">
        <v>36000</v>
      </c>
      <c r="C383" s="2">
        <f t="shared" si="21"/>
        <v>0.0434782608695652</v>
      </c>
      <c r="D383" s="2">
        <f t="shared" si="22"/>
        <v>0.0425596144187959</v>
      </c>
      <c r="E383" s="23">
        <v>0.02899</v>
      </c>
      <c r="F383" s="2">
        <f t="shared" si="20"/>
        <v>0.0001115</v>
      </c>
      <c r="G383" s="2">
        <f t="shared" si="23"/>
        <v>0.0424481144187959</v>
      </c>
    </row>
    <row r="384" spans="1:7">
      <c r="A384" s="21">
        <v>45299</v>
      </c>
      <c r="B384" s="22">
        <v>36450</v>
      </c>
      <c r="C384" s="2">
        <f t="shared" si="21"/>
        <v>0.0125</v>
      </c>
      <c r="D384" s="2">
        <f t="shared" si="22"/>
        <v>0.0124225199985571</v>
      </c>
      <c r="E384" s="23">
        <v>0.0288</v>
      </c>
      <c r="F384" s="2">
        <f t="shared" si="20"/>
        <v>0.000110769230769231</v>
      </c>
      <c r="G384" s="2">
        <f t="shared" si="23"/>
        <v>0.0123117507677879</v>
      </c>
    </row>
    <row r="385" spans="1:7">
      <c r="A385" t="s">
        <v>248</v>
      </c>
      <c r="B385" s="22">
        <v>36700</v>
      </c>
      <c r="C385" s="2">
        <f t="shared" si="21"/>
        <v>0.00685871056241427</v>
      </c>
      <c r="D385" s="2">
        <f t="shared" si="22"/>
        <v>0.00683529660585744</v>
      </c>
      <c r="E385" s="23">
        <v>0.02893</v>
      </c>
      <c r="F385" s="2">
        <f t="shared" si="20"/>
        <v>0.000111269230769231</v>
      </c>
      <c r="G385" s="2">
        <f t="shared" si="23"/>
        <v>0.00672402737508821</v>
      </c>
    </row>
    <row r="386" spans="1:7">
      <c r="A386" t="s">
        <v>249</v>
      </c>
      <c r="B386" s="22">
        <v>36700</v>
      </c>
      <c r="C386" s="2">
        <f t="shared" si="21"/>
        <v>0</v>
      </c>
      <c r="D386" s="2">
        <f t="shared" si="22"/>
        <v>0</v>
      </c>
      <c r="E386" s="23">
        <v>0.02895</v>
      </c>
      <c r="F386" s="2">
        <f t="shared" si="20"/>
        <v>0.000111346153846154</v>
      </c>
      <c r="G386" s="2">
        <f t="shared" si="23"/>
        <v>-0.000111346153846154</v>
      </c>
    </row>
    <row r="387" spans="1:7">
      <c r="A387" t="s">
        <v>250</v>
      </c>
      <c r="B387" s="22">
        <v>37100</v>
      </c>
      <c r="C387" s="2">
        <f t="shared" si="21"/>
        <v>0.0108991825613079</v>
      </c>
      <c r="D387" s="2">
        <f t="shared" si="22"/>
        <v>0.0108402145528648</v>
      </c>
      <c r="E387" s="23">
        <v>0.02903</v>
      </c>
      <c r="F387" s="2">
        <f t="shared" ref="F387:F450" si="24">E387/260</f>
        <v>0.000111653846153846</v>
      </c>
      <c r="G387" s="2">
        <f t="shared" si="23"/>
        <v>0.010728560706711</v>
      </c>
    </row>
    <row r="388" spans="1:7">
      <c r="A388" t="s">
        <v>251</v>
      </c>
      <c r="B388" s="22">
        <v>37750</v>
      </c>
      <c r="C388" s="2">
        <f t="shared" ref="C388:C451" si="25">(B388-B387)/B387</f>
        <v>0.0175202156334232</v>
      </c>
      <c r="D388" s="2">
        <f t="shared" ref="D388:D451" si="26">LN(B388/B387)</f>
        <v>0.0173685060816442</v>
      </c>
      <c r="E388" s="23">
        <v>0.02897</v>
      </c>
      <c r="F388" s="2">
        <f t="shared" si="24"/>
        <v>0.000111423076923077</v>
      </c>
      <c r="G388" s="2">
        <f t="shared" ref="G388:G451" si="27">D388-F388</f>
        <v>0.0172570830047211</v>
      </c>
    </row>
    <row r="389" spans="1:7">
      <c r="A389" t="s">
        <v>252</v>
      </c>
      <c r="B389" s="22">
        <v>37800</v>
      </c>
      <c r="C389" s="2">
        <f t="shared" si="25"/>
        <v>0.00132450331125828</v>
      </c>
      <c r="D389" s="2">
        <f t="shared" si="26"/>
        <v>0.00132362693050835</v>
      </c>
      <c r="E389" s="23">
        <v>0.02881</v>
      </c>
      <c r="F389" s="2">
        <f t="shared" si="24"/>
        <v>0.000110807692307692</v>
      </c>
      <c r="G389" s="2">
        <f t="shared" si="27"/>
        <v>0.00121281923820065</v>
      </c>
    </row>
    <row r="390" spans="1:7">
      <c r="A390" t="s">
        <v>253</v>
      </c>
      <c r="B390" s="22">
        <v>37850</v>
      </c>
      <c r="C390" s="2">
        <f t="shared" si="25"/>
        <v>0.00132275132275132</v>
      </c>
      <c r="D390" s="2">
        <f t="shared" si="26"/>
        <v>0.00132187725791585</v>
      </c>
      <c r="E390" s="23">
        <v>0.02908</v>
      </c>
      <c r="F390" s="2">
        <f t="shared" si="24"/>
        <v>0.000111846153846154</v>
      </c>
      <c r="G390" s="2">
        <f t="shared" si="27"/>
        <v>0.00121003110406969</v>
      </c>
    </row>
    <row r="391" spans="1:7">
      <c r="A391" t="s">
        <v>254</v>
      </c>
      <c r="B391" s="22">
        <v>37850</v>
      </c>
      <c r="C391" s="2">
        <f t="shared" si="25"/>
        <v>0</v>
      </c>
      <c r="D391" s="2">
        <f t="shared" si="26"/>
        <v>0</v>
      </c>
      <c r="E391" s="23">
        <v>0.02899</v>
      </c>
      <c r="F391" s="2">
        <f t="shared" si="24"/>
        <v>0.0001115</v>
      </c>
      <c r="G391" s="2">
        <f t="shared" si="27"/>
        <v>-0.0001115</v>
      </c>
    </row>
    <row r="392" spans="1:7">
      <c r="A392" t="s">
        <v>255</v>
      </c>
      <c r="B392" s="22">
        <v>37900</v>
      </c>
      <c r="C392" s="2">
        <f t="shared" si="25"/>
        <v>0.00132100396301189</v>
      </c>
      <c r="D392" s="2">
        <f t="shared" si="26"/>
        <v>0.00132013220492282</v>
      </c>
      <c r="E392" s="23">
        <v>0.02903</v>
      </c>
      <c r="F392" s="2">
        <f t="shared" si="24"/>
        <v>0.000111653846153846</v>
      </c>
      <c r="G392" s="2">
        <f t="shared" si="27"/>
        <v>0.00120847835876897</v>
      </c>
    </row>
    <row r="393" spans="1:7">
      <c r="A393" t="s">
        <v>256</v>
      </c>
      <c r="B393" s="22">
        <v>37850</v>
      </c>
      <c r="C393" s="2">
        <f t="shared" si="25"/>
        <v>-0.00131926121372032</v>
      </c>
      <c r="D393" s="2">
        <f t="shared" si="26"/>
        <v>-0.00132013220492284</v>
      </c>
      <c r="E393" s="23">
        <v>0.02895</v>
      </c>
      <c r="F393" s="2">
        <f t="shared" si="24"/>
        <v>0.000111346153846154</v>
      </c>
      <c r="G393" s="2">
        <f t="shared" si="27"/>
        <v>-0.001431478358769</v>
      </c>
    </row>
    <row r="394" spans="1:7">
      <c r="A394" t="s">
        <v>257</v>
      </c>
      <c r="B394" s="22">
        <v>37450</v>
      </c>
      <c r="C394" s="2">
        <f t="shared" si="25"/>
        <v>-0.0105680317040951</v>
      </c>
      <c r="D394" s="2">
        <f t="shared" si="26"/>
        <v>-0.0106242699202293</v>
      </c>
      <c r="E394" s="23">
        <v>0.02904</v>
      </c>
      <c r="F394" s="2">
        <f t="shared" si="24"/>
        <v>0.000111692307692308</v>
      </c>
      <c r="G394" s="2">
        <f t="shared" si="27"/>
        <v>-0.0107359622279216</v>
      </c>
    </row>
    <row r="395" spans="1:7">
      <c r="A395" t="s">
        <v>258</v>
      </c>
      <c r="B395" s="22">
        <v>37300</v>
      </c>
      <c r="C395" s="2">
        <f t="shared" si="25"/>
        <v>-0.00400534045393859</v>
      </c>
      <c r="D395" s="2">
        <f t="shared" si="26"/>
        <v>-0.00401338331345868</v>
      </c>
      <c r="E395" s="23">
        <v>0.02902</v>
      </c>
      <c r="F395" s="2">
        <f t="shared" si="24"/>
        <v>0.000111615384615385</v>
      </c>
      <c r="G395" s="2">
        <f t="shared" si="27"/>
        <v>-0.00412499869807406</v>
      </c>
    </row>
    <row r="396" spans="1:7">
      <c r="A396" t="s">
        <v>259</v>
      </c>
      <c r="B396" s="22">
        <v>37900</v>
      </c>
      <c r="C396" s="2">
        <f t="shared" si="25"/>
        <v>0.0160857908847185</v>
      </c>
      <c r="D396" s="2">
        <f t="shared" si="26"/>
        <v>0.0159577854386108</v>
      </c>
      <c r="E396" s="23">
        <v>0.02899</v>
      </c>
      <c r="F396" s="2">
        <f t="shared" si="24"/>
        <v>0.0001115</v>
      </c>
      <c r="G396" s="2">
        <f t="shared" si="27"/>
        <v>0.0158462854386108</v>
      </c>
    </row>
    <row r="397" spans="1:7">
      <c r="A397" t="s">
        <v>260</v>
      </c>
      <c r="B397" s="22">
        <v>38000</v>
      </c>
      <c r="C397" s="2">
        <f t="shared" si="25"/>
        <v>0.00263852242744063</v>
      </c>
      <c r="D397" s="2">
        <f t="shared" si="26"/>
        <v>0.00263504763800503</v>
      </c>
      <c r="E397" s="23">
        <v>0.02901</v>
      </c>
      <c r="F397" s="2">
        <f t="shared" si="24"/>
        <v>0.000111576923076923</v>
      </c>
      <c r="G397" s="2">
        <f t="shared" si="27"/>
        <v>0.00252347071492811</v>
      </c>
    </row>
    <row r="398" spans="1:7">
      <c r="A398" s="21">
        <v>45633</v>
      </c>
      <c r="B398" s="22">
        <v>38500</v>
      </c>
      <c r="C398" s="2">
        <f t="shared" si="25"/>
        <v>0.0131578947368421</v>
      </c>
      <c r="D398" s="2">
        <f t="shared" si="26"/>
        <v>0.0130720815673527</v>
      </c>
      <c r="E398" s="23">
        <v>0.02894</v>
      </c>
      <c r="F398" s="2">
        <f t="shared" si="24"/>
        <v>0.000111307692307692</v>
      </c>
      <c r="G398" s="2">
        <f t="shared" si="27"/>
        <v>0.012960773875045</v>
      </c>
    </row>
    <row r="399" spans="1:7">
      <c r="A399" s="21">
        <v>45603</v>
      </c>
      <c r="B399" s="22">
        <v>38450</v>
      </c>
      <c r="C399" s="2">
        <f t="shared" si="25"/>
        <v>-0.0012987012987013</v>
      </c>
      <c r="D399" s="2">
        <f t="shared" si="26"/>
        <v>-0.0012995453420855</v>
      </c>
      <c r="E399" s="23">
        <v>0.0289</v>
      </c>
      <c r="F399" s="2">
        <f t="shared" si="24"/>
        <v>0.000111153846153846</v>
      </c>
      <c r="G399" s="2">
        <f t="shared" si="27"/>
        <v>-0.00141069918823935</v>
      </c>
    </row>
    <row r="400" spans="1:7">
      <c r="A400" s="21">
        <v>45572</v>
      </c>
      <c r="B400" s="22">
        <v>38250</v>
      </c>
      <c r="C400" s="2">
        <f t="shared" si="25"/>
        <v>-0.00520156046814044</v>
      </c>
      <c r="D400" s="2">
        <f t="shared" si="26"/>
        <v>-0.00521513567910816</v>
      </c>
      <c r="E400" s="23">
        <v>0.02888</v>
      </c>
      <c r="F400" s="2">
        <f t="shared" si="24"/>
        <v>0.000111076923076923</v>
      </c>
      <c r="G400" s="2">
        <f t="shared" si="27"/>
        <v>-0.00532621260218508</v>
      </c>
    </row>
    <row r="401" spans="1:7">
      <c r="A401" s="21">
        <v>45542</v>
      </c>
      <c r="B401" s="22">
        <v>38300</v>
      </c>
      <c r="C401" s="2">
        <f t="shared" si="25"/>
        <v>0.00130718954248366</v>
      </c>
      <c r="D401" s="2">
        <f t="shared" si="26"/>
        <v>0.00130633591405546</v>
      </c>
      <c r="E401" s="23">
        <v>0.02894</v>
      </c>
      <c r="F401" s="2">
        <f t="shared" si="24"/>
        <v>0.000111307692307692</v>
      </c>
      <c r="G401" s="2">
        <f t="shared" si="27"/>
        <v>0.00119502822174776</v>
      </c>
    </row>
    <row r="402" spans="1:7">
      <c r="A402" s="21">
        <v>45511</v>
      </c>
      <c r="B402" s="22">
        <v>38000</v>
      </c>
      <c r="C402" s="2">
        <f t="shared" si="25"/>
        <v>-0.00783289817232376</v>
      </c>
      <c r="D402" s="2">
        <f t="shared" si="26"/>
        <v>-0.00786373646021458</v>
      </c>
      <c r="E402" s="23">
        <v>0.02883</v>
      </c>
      <c r="F402" s="2">
        <f t="shared" si="24"/>
        <v>0.000110884615384615</v>
      </c>
      <c r="G402" s="2">
        <f t="shared" si="27"/>
        <v>-0.00797462107559919</v>
      </c>
    </row>
    <row r="403" spans="1:7">
      <c r="A403" s="21">
        <v>45419</v>
      </c>
      <c r="B403" s="22">
        <v>38450</v>
      </c>
      <c r="C403" s="2">
        <f t="shared" si="25"/>
        <v>0.0118421052631579</v>
      </c>
      <c r="D403" s="2">
        <f t="shared" si="26"/>
        <v>0.0117725362252672</v>
      </c>
      <c r="E403" s="23">
        <v>0.02874</v>
      </c>
      <c r="F403" s="2">
        <f t="shared" si="24"/>
        <v>0.000110538461538462</v>
      </c>
      <c r="G403" s="2">
        <f t="shared" si="27"/>
        <v>0.0116619977637287</v>
      </c>
    </row>
    <row r="404" spans="1:7">
      <c r="A404" s="21">
        <v>45389</v>
      </c>
      <c r="B404" s="22">
        <v>38450</v>
      </c>
      <c r="C404" s="2">
        <f t="shared" si="25"/>
        <v>0</v>
      </c>
      <c r="D404" s="2">
        <f t="shared" si="26"/>
        <v>0</v>
      </c>
      <c r="E404" s="23">
        <v>0.02872</v>
      </c>
      <c r="F404" s="2">
        <f t="shared" si="24"/>
        <v>0.000110461538461538</v>
      </c>
      <c r="G404" s="2">
        <f t="shared" si="27"/>
        <v>-0.000110461538461538</v>
      </c>
    </row>
    <row r="405" spans="1:7">
      <c r="A405" s="21">
        <v>45358</v>
      </c>
      <c r="B405" s="22">
        <v>38100</v>
      </c>
      <c r="C405" s="2">
        <f t="shared" si="25"/>
        <v>-0.00910273081924577</v>
      </c>
      <c r="D405" s="2">
        <f t="shared" si="26"/>
        <v>-0.00914441381899766</v>
      </c>
      <c r="E405" s="23">
        <v>0.02857</v>
      </c>
      <c r="F405" s="2">
        <f t="shared" si="24"/>
        <v>0.000109884615384615</v>
      </c>
      <c r="G405" s="2">
        <f t="shared" si="27"/>
        <v>-0.00925429843438227</v>
      </c>
    </row>
    <row r="406" spans="1:7">
      <c r="A406" s="21">
        <v>45329</v>
      </c>
      <c r="B406" s="22">
        <v>38150</v>
      </c>
      <c r="C406" s="2">
        <f t="shared" si="25"/>
        <v>0.00131233595800525</v>
      </c>
      <c r="D406" s="2">
        <f t="shared" si="26"/>
        <v>0.00131147559781066</v>
      </c>
      <c r="E406" s="23">
        <v>0.02875</v>
      </c>
      <c r="F406" s="2">
        <f t="shared" si="24"/>
        <v>0.000110576923076923</v>
      </c>
      <c r="G406" s="2">
        <f t="shared" si="27"/>
        <v>0.00120089867473373</v>
      </c>
    </row>
    <row r="407" spans="1:7">
      <c r="A407" s="21">
        <v>45298</v>
      </c>
      <c r="B407" s="22">
        <v>37700</v>
      </c>
      <c r="C407" s="2">
        <f t="shared" si="25"/>
        <v>-0.0117955439056356</v>
      </c>
      <c r="D407" s="2">
        <f t="shared" si="26"/>
        <v>-0.0118656632765009</v>
      </c>
      <c r="E407" s="23">
        <v>0.02882</v>
      </c>
      <c r="F407" s="2">
        <f t="shared" si="24"/>
        <v>0.000110846153846154</v>
      </c>
      <c r="G407" s="2">
        <f t="shared" si="27"/>
        <v>-0.0119765094303471</v>
      </c>
    </row>
    <row r="408" spans="1:7">
      <c r="A408" t="s">
        <v>261</v>
      </c>
      <c r="B408" s="22">
        <v>37650</v>
      </c>
      <c r="C408" s="2">
        <f t="shared" si="25"/>
        <v>-0.0013262599469496</v>
      </c>
      <c r="D408" s="2">
        <f t="shared" si="26"/>
        <v>-0.00132714020806246</v>
      </c>
      <c r="E408" s="23">
        <v>0.02885</v>
      </c>
      <c r="F408" s="2">
        <f t="shared" si="24"/>
        <v>0.000110961538461538</v>
      </c>
      <c r="G408" s="2">
        <f t="shared" si="27"/>
        <v>-0.001438101746524</v>
      </c>
    </row>
    <row r="409" spans="1:7">
      <c r="A409" t="s">
        <v>262</v>
      </c>
      <c r="B409" s="22">
        <v>37600</v>
      </c>
      <c r="C409" s="2">
        <f t="shared" si="25"/>
        <v>-0.00132802124833997</v>
      </c>
      <c r="D409" s="2">
        <f t="shared" si="26"/>
        <v>-0.00132890385005375</v>
      </c>
      <c r="E409" s="23">
        <v>0.02889</v>
      </c>
      <c r="F409" s="2">
        <f t="shared" si="24"/>
        <v>0.000111115384615385</v>
      </c>
      <c r="G409" s="2">
        <f t="shared" si="27"/>
        <v>-0.00144001923466914</v>
      </c>
    </row>
    <row r="410" spans="1:7">
      <c r="A410" t="s">
        <v>263</v>
      </c>
      <c r="B410" s="22">
        <v>37500</v>
      </c>
      <c r="C410" s="2">
        <f t="shared" si="25"/>
        <v>-0.00265957446808511</v>
      </c>
      <c r="D410" s="2">
        <f t="shared" si="26"/>
        <v>-0.00266311741948366</v>
      </c>
      <c r="E410" s="23">
        <v>0.02899</v>
      </c>
      <c r="F410" s="2">
        <f t="shared" si="24"/>
        <v>0.0001115</v>
      </c>
      <c r="G410" s="2">
        <f t="shared" si="27"/>
        <v>-0.00277461741948366</v>
      </c>
    </row>
    <row r="411" spans="1:7">
      <c r="A411" t="s">
        <v>264</v>
      </c>
      <c r="B411" s="22">
        <v>37800</v>
      </c>
      <c r="C411" s="2">
        <f t="shared" si="25"/>
        <v>0.008</v>
      </c>
      <c r="D411" s="2">
        <f t="shared" si="26"/>
        <v>0.00796816964917688</v>
      </c>
      <c r="E411" s="23">
        <v>0.02878</v>
      </c>
      <c r="F411" s="2">
        <f t="shared" si="24"/>
        <v>0.000110692307692308</v>
      </c>
      <c r="G411" s="2">
        <f t="shared" si="27"/>
        <v>0.00785747734148457</v>
      </c>
    </row>
    <row r="412" spans="1:7">
      <c r="A412" t="s">
        <v>265</v>
      </c>
      <c r="B412" s="22">
        <v>37450</v>
      </c>
      <c r="C412" s="2">
        <f t="shared" si="25"/>
        <v>-0.00925925925925926</v>
      </c>
      <c r="D412" s="2">
        <f t="shared" si="26"/>
        <v>-0.00930239266231356</v>
      </c>
      <c r="E412" s="23">
        <v>0.0288</v>
      </c>
      <c r="F412" s="2">
        <f t="shared" si="24"/>
        <v>0.000110769230769231</v>
      </c>
      <c r="G412" s="2">
        <f t="shared" si="27"/>
        <v>-0.00941316189308279</v>
      </c>
    </row>
    <row r="413" spans="1:7">
      <c r="A413" t="s">
        <v>266</v>
      </c>
      <c r="B413" s="22">
        <v>37750</v>
      </c>
      <c r="C413" s="2">
        <f t="shared" si="25"/>
        <v>0.00801068090787717</v>
      </c>
      <c r="D413" s="2">
        <f t="shared" si="26"/>
        <v>0.00797876573180532</v>
      </c>
      <c r="E413" s="23">
        <v>0.02863</v>
      </c>
      <c r="F413" s="2">
        <f t="shared" si="24"/>
        <v>0.000110115384615385</v>
      </c>
      <c r="G413" s="2">
        <f t="shared" si="27"/>
        <v>0.00786865034718994</v>
      </c>
    </row>
    <row r="414" spans="1:7">
      <c r="A414" t="s">
        <v>267</v>
      </c>
      <c r="B414" s="22">
        <v>38000</v>
      </c>
      <c r="C414" s="2">
        <f t="shared" si="25"/>
        <v>0.00662251655629139</v>
      </c>
      <c r="D414" s="2">
        <f t="shared" si="26"/>
        <v>0.00660068403135209</v>
      </c>
      <c r="E414" s="23">
        <v>0.0285</v>
      </c>
      <c r="F414" s="2">
        <f t="shared" si="24"/>
        <v>0.000109615384615385</v>
      </c>
      <c r="G414" s="2">
        <f t="shared" si="27"/>
        <v>0.00649106864673671</v>
      </c>
    </row>
    <row r="415" spans="1:7">
      <c r="A415" t="s">
        <v>268</v>
      </c>
      <c r="B415" s="22">
        <v>38000</v>
      </c>
      <c r="C415" s="2">
        <f t="shared" si="25"/>
        <v>0</v>
      </c>
      <c r="D415" s="2">
        <f t="shared" si="26"/>
        <v>0</v>
      </c>
      <c r="E415" s="23">
        <v>0.0289</v>
      </c>
      <c r="F415" s="2">
        <f t="shared" si="24"/>
        <v>0.000111153846153846</v>
      </c>
      <c r="G415" s="2">
        <f t="shared" si="27"/>
        <v>-0.000111153846153846</v>
      </c>
    </row>
    <row r="416" spans="1:7">
      <c r="A416" t="s">
        <v>269</v>
      </c>
      <c r="B416" s="22">
        <v>38300</v>
      </c>
      <c r="C416" s="2">
        <f t="shared" si="25"/>
        <v>0.00789473684210526</v>
      </c>
      <c r="D416" s="2">
        <f t="shared" si="26"/>
        <v>0.00786373646021445</v>
      </c>
      <c r="E416" s="23">
        <v>0.02907</v>
      </c>
      <c r="F416" s="2">
        <f t="shared" si="24"/>
        <v>0.000111807692307692</v>
      </c>
      <c r="G416" s="2">
        <f t="shared" si="27"/>
        <v>0.00775192876790676</v>
      </c>
    </row>
    <row r="417" spans="1:7">
      <c r="A417" t="s">
        <v>270</v>
      </c>
      <c r="B417" s="22">
        <v>38300</v>
      </c>
      <c r="C417" s="2">
        <f t="shared" si="25"/>
        <v>0</v>
      </c>
      <c r="D417" s="2">
        <f t="shared" si="26"/>
        <v>0</v>
      </c>
      <c r="E417" s="23">
        <v>0.02903</v>
      </c>
      <c r="F417" s="2">
        <f t="shared" si="24"/>
        <v>0.000111653846153846</v>
      </c>
      <c r="G417" s="2">
        <f t="shared" si="27"/>
        <v>-0.000111653846153846</v>
      </c>
    </row>
    <row r="418" spans="1:7">
      <c r="A418" t="s">
        <v>271</v>
      </c>
      <c r="B418" s="22">
        <v>38200</v>
      </c>
      <c r="C418" s="2">
        <f t="shared" si="25"/>
        <v>-0.00261096605744125</v>
      </c>
      <c r="D418" s="2">
        <f t="shared" si="26"/>
        <v>-0.00261438057407082</v>
      </c>
      <c r="E418" s="23">
        <v>0.02901</v>
      </c>
      <c r="F418" s="2">
        <f t="shared" si="24"/>
        <v>0.000111576923076923</v>
      </c>
      <c r="G418" s="2">
        <f t="shared" si="27"/>
        <v>-0.00272595749714774</v>
      </c>
    </row>
    <row r="419" spans="1:7">
      <c r="A419" t="s">
        <v>272</v>
      </c>
      <c r="B419" s="22">
        <v>38250</v>
      </c>
      <c r="C419" s="2">
        <f t="shared" si="25"/>
        <v>0.00130890052356021</v>
      </c>
      <c r="D419" s="2">
        <f t="shared" si="26"/>
        <v>0.00130804466001539</v>
      </c>
      <c r="E419" s="23">
        <v>0.02907</v>
      </c>
      <c r="F419" s="2">
        <f t="shared" si="24"/>
        <v>0.000111807692307692</v>
      </c>
      <c r="G419" s="2">
        <f t="shared" si="27"/>
        <v>0.0011962369677077</v>
      </c>
    </row>
    <row r="420" spans="1:7">
      <c r="A420" s="21">
        <v>45632</v>
      </c>
      <c r="B420" s="22">
        <v>38500</v>
      </c>
      <c r="C420" s="2">
        <f t="shared" si="25"/>
        <v>0.0065359477124183</v>
      </c>
      <c r="D420" s="2">
        <f t="shared" si="26"/>
        <v>0.00651468102119367</v>
      </c>
      <c r="E420" s="23">
        <v>0.02932</v>
      </c>
      <c r="F420" s="2">
        <f t="shared" si="24"/>
        <v>0.000112769230769231</v>
      </c>
      <c r="G420" s="2">
        <f t="shared" si="27"/>
        <v>0.00640191179042444</v>
      </c>
    </row>
    <row r="421" spans="1:7">
      <c r="A421" s="21">
        <v>45602</v>
      </c>
      <c r="B421" s="22">
        <v>38150</v>
      </c>
      <c r="C421" s="2">
        <f t="shared" si="25"/>
        <v>-0.00909090909090909</v>
      </c>
      <c r="D421" s="2">
        <f t="shared" si="26"/>
        <v>-0.00913248356327247</v>
      </c>
      <c r="E421" s="23">
        <v>0.02939</v>
      </c>
      <c r="F421" s="2">
        <f t="shared" si="24"/>
        <v>0.000113038461538462</v>
      </c>
      <c r="G421" s="2">
        <f t="shared" si="27"/>
        <v>-0.00924552202481094</v>
      </c>
    </row>
    <row r="422" spans="1:7">
      <c r="A422" s="21">
        <v>45571</v>
      </c>
      <c r="B422" s="22">
        <v>38900</v>
      </c>
      <c r="C422" s="2">
        <f t="shared" si="25"/>
        <v>0.0196592398427261</v>
      </c>
      <c r="D422" s="2">
        <f t="shared" si="26"/>
        <v>0.0194684928939345</v>
      </c>
      <c r="E422" s="23">
        <v>0.02929</v>
      </c>
      <c r="F422" s="2">
        <f t="shared" si="24"/>
        <v>0.000112653846153846</v>
      </c>
      <c r="G422" s="2">
        <f t="shared" si="27"/>
        <v>0.0193558390477807</v>
      </c>
    </row>
    <row r="423" spans="1:7">
      <c r="A423" s="21">
        <v>45479</v>
      </c>
      <c r="B423" s="22">
        <v>39000</v>
      </c>
      <c r="C423" s="2">
        <f t="shared" si="25"/>
        <v>0.0025706940874036</v>
      </c>
      <c r="D423" s="2">
        <f t="shared" si="26"/>
        <v>0.00256739550524573</v>
      </c>
      <c r="E423" s="23">
        <v>0.02908</v>
      </c>
      <c r="F423" s="2">
        <f t="shared" si="24"/>
        <v>0.000111846153846154</v>
      </c>
      <c r="G423" s="2">
        <f t="shared" si="27"/>
        <v>0.00245554935139958</v>
      </c>
    </row>
    <row r="424" spans="1:7">
      <c r="A424" s="21">
        <v>45449</v>
      </c>
      <c r="B424" s="22">
        <v>39050</v>
      </c>
      <c r="C424" s="2">
        <f t="shared" si="25"/>
        <v>0.00128205128205128</v>
      </c>
      <c r="D424" s="2">
        <f t="shared" si="26"/>
        <v>0.00128123015604854</v>
      </c>
      <c r="E424" s="23">
        <v>0.02916</v>
      </c>
      <c r="F424" s="2">
        <f t="shared" si="24"/>
        <v>0.000112153846153846</v>
      </c>
      <c r="G424" s="2">
        <f t="shared" si="27"/>
        <v>0.00116907630989469</v>
      </c>
    </row>
    <row r="425" spans="1:7">
      <c r="A425" s="21">
        <v>45418</v>
      </c>
      <c r="B425" s="22">
        <v>39300</v>
      </c>
      <c r="C425" s="2">
        <f t="shared" si="25"/>
        <v>0.00640204865556978</v>
      </c>
      <c r="D425" s="2">
        <f t="shared" si="26"/>
        <v>0.00638164258952061</v>
      </c>
      <c r="E425" s="23">
        <v>0.02914</v>
      </c>
      <c r="F425" s="2">
        <f t="shared" si="24"/>
        <v>0.000112076923076923</v>
      </c>
      <c r="G425" s="2">
        <f t="shared" si="27"/>
        <v>0.00626956566644369</v>
      </c>
    </row>
    <row r="426" spans="1:7">
      <c r="A426" s="21">
        <v>45388</v>
      </c>
      <c r="B426" s="22">
        <v>39400</v>
      </c>
      <c r="C426" s="2">
        <f t="shared" si="25"/>
        <v>0.00254452926208651</v>
      </c>
      <c r="D426" s="2">
        <f t="shared" si="26"/>
        <v>0.00254129742867255</v>
      </c>
      <c r="E426" s="23">
        <v>0.02911</v>
      </c>
      <c r="F426" s="2">
        <f t="shared" si="24"/>
        <v>0.000111961538461538</v>
      </c>
      <c r="G426" s="2">
        <f t="shared" si="27"/>
        <v>0.00242933589021101</v>
      </c>
    </row>
    <row r="427" spans="1:7">
      <c r="A427" s="21">
        <v>45357</v>
      </c>
      <c r="B427" s="22">
        <v>39300</v>
      </c>
      <c r="C427" s="2">
        <f t="shared" si="25"/>
        <v>-0.00253807106598985</v>
      </c>
      <c r="D427" s="2">
        <f t="shared" si="26"/>
        <v>-0.00254129742867253</v>
      </c>
      <c r="E427" s="23">
        <v>0.02929</v>
      </c>
      <c r="F427" s="2">
        <f t="shared" si="24"/>
        <v>0.000112653846153846</v>
      </c>
      <c r="G427" s="2">
        <f t="shared" si="27"/>
        <v>-0.00265395127482638</v>
      </c>
    </row>
    <row r="428" spans="1:7">
      <c r="A428" t="s">
        <v>273</v>
      </c>
      <c r="B428" s="22">
        <v>38850</v>
      </c>
      <c r="C428" s="2">
        <f t="shared" si="25"/>
        <v>-0.0114503816793893</v>
      </c>
      <c r="D428" s="2">
        <f t="shared" si="26"/>
        <v>-0.0115164420615591</v>
      </c>
      <c r="E428" s="23">
        <v>0.02948</v>
      </c>
      <c r="F428" s="2">
        <f t="shared" si="24"/>
        <v>0.000113384615384615</v>
      </c>
      <c r="G428" s="2">
        <f t="shared" si="27"/>
        <v>-0.0116298266769437</v>
      </c>
    </row>
    <row r="429" spans="1:7">
      <c r="A429" t="s">
        <v>274</v>
      </c>
      <c r="B429" s="22">
        <v>39000</v>
      </c>
      <c r="C429" s="2">
        <f t="shared" si="25"/>
        <v>0.00386100386100386</v>
      </c>
      <c r="D429" s="2">
        <f t="shared" si="26"/>
        <v>0.00385356931598997</v>
      </c>
      <c r="E429" s="23">
        <v>0.02967</v>
      </c>
      <c r="F429" s="2">
        <f t="shared" si="24"/>
        <v>0.000114115384615385</v>
      </c>
      <c r="G429" s="2">
        <f t="shared" si="27"/>
        <v>0.00373945393137459</v>
      </c>
    </row>
    <row r="430" spans="1:7">
      <c r="A430" t="s">
        <v>275</v>
      </c>
      <c r="B430" s="22">
        <v>39450</v>
      </c>
      <c r="C430" s="2">
        <f t="shared" si="25"/>
        <v>0.0115384615384615</v>
      </c>
      <c r="D430" s="2">
        <f t="shared" si="26"/>
        <v>0.0114724011622368</v>
      </c>
      <c r="E430" s="23">
        <v>0.02955</v>
      </c>
      <c r="F430" s="2">
        <f t="shared" si="24"/>
        <v>0.000113653846153846</v>
      </c>
      <c r="G430" s="2">
        <f t="shared" si="27"/>
        <v>0.0113587473160829</v>
      </c>
    </row>
    <row r="431" spans="1:7">
      <c r="A431" t="s">
        <v>276</v>
      </c>
      <c r="B431" s="22">
        <v>39950</v>
      </c>
      <c r="C431" s="2">
        <f t="shared" si="25"/>
        <v>0.0126742712294043</v>
      </c>
      <c r="D431" s="2">
        <f t="shared" si="26"/>
        <v>0.0125946249204005</v>
      </c>
      <c r="E431" s="23">
        <v>0.02988</v>
      </c>
      <c r="F431" s="2">
        <f t="shared" si="24"/>
        <v>0.000114923076923077</v>
      </c>
      <c r="G431" s="2">
        <f t="shared" si="27"/>
        <v>0.0124797018434774</v>
      </c>
    </row>
    <row r="432" spans="1:7">
      <c r="A432" t="s">
        <v>277</v>
      </c>
      <c r="B432" s="22">
        <v>39800</v>
      </c>
      <c r="C432" s="2">
        <f t="shared" si="25"/>
        <v>-0.00375469336670839</v>
      </c>
      <c r="D432" s="2">
        <f t="shared" si="26"/>
        <v>-0.00376175992189168</v>
      </c>
      <c r="E432" s="23">
        <v>0.03014</v>
      </c>
      <c r="F432" s="2">
        <f t="shared" si="24"/>
        <v>0.000115923076923077</v>
      </c>
      <c r="G432" s="2">
        <f t="shared" si="27"/>
        <v>-0.00387768299881476</v>
      </c>
    </row>
    <row r="433" spans="1:7">
      <c r="A433" t="s">
        <v>278</v>
      </c>
      <c r="B433" s="22">
        <v>39800</v>
      </c>
      <c r="C433" s="2">
        <f t="shared" si="25"/>
        <v>0</v>
      </c>
      <c r="D433" s="2">
        <f t="shared" si="26"/>
        <v>0</v>
      </c>
      <c r="E433" s="23">
        <v>0.03035</v>
      </c>
      <c r="F433" s="2">
        <f t="shared" si="24"/>
        <v>0.000116730769230769</v>
      </c>
      <c r="G433" s="2">
        <f t="shared" si="27"/>
        <v>-0.000116730769230769</v>
      </c>
    </row>
    <row r="434" spans="1:7">
      <c r="A434" t="s">
        <v>279</v>
      </c>
      <c r="B434" s="22">
        <v>40550</v>
      </c>
      <c r="C434" s="2">
        <f t="shared" si="25"/>
        <v>0.0188442211055276</v>
      </c>
      <c r="D434" s="2">
        <f t="shared" si="26"/>
        <v>0.01866886827103</v>
      </c>
      <c r="E434" s="23">
        <v>0.03027</v>
      </c>
      <c r="F434" s="2">
        <f t="shared" si="24"/>
        <v>0.000116423076923077</v>
      </c>
      <c r="G434" s="2">
        <f t="shared" si="27"/>
        <v>0.0185524451941069</v>
      </c>
    </row>
    <row r="435" spans="1:7">
      <c r="A435" t="s">
        <v>280</v>
      </c>
      <c r="B435" s="22">
        <v>40350</v>
      </c>
      <c r="C435" s="2">
        <f t="shared" si="25"/>
        <v>-0.00493218249075216</v>
      </c>
      <c r="D435" s="2">
        <f t="shared" si="26"/>
        <v>-0.00494438584546408</v>
      </c>
      <c r="E435" s="23">
        <v>0.02959</v>
      </c>
      <c r="F435" s="2">
        <f t="shared" si="24"/>
        <v>0.000113807692307692</v>
      </c>
      <c r="G435" s="2">
        <f t="shared" si="27"/>
        <v>-0.00505819353777177</v>
      </c>
    </row>
    <row r="436" spans="1:7">
      <c r="A436" t="s">
        <v>281</v>
      </c>
      <c r="B436" s="22">
        <v>40200</v>
      </c>
      <c r="C436" s="2">
        <f t="shared" si="25"/>
        <v>-0.00371747211895911</v>
      </c>
      <c r="D436" s="2">
        <f t="shared" si="26"/>
        <v>-0.00372439909098244</v>
      </c>
      <c r="E436" s="23">
        <v>0.02852</v>
      </c>
      <c r="F436" s="2">
        <f t="shared" si="24"/>
        <v>0.000109692307692308</v>
      </c>
      <c r="G436" s="2">
        <f t="shared" si="27"/>
        <v>-0.00383409139867475</v>
      </c>
    </row>
    <row r="437" spans="1:7">
      <c r="A437" t="s">
        <v>282</v>
      </c>
      <c r="B437" s="22">
        <v>40450</v>
      </c>
      <c r="C437" s="2">
        <f t="shared" si="25"/>
        <v>0.00621890547263682</v>
      </c>
      <c r="D437" s="2">
        <f t="shared" si="26"/>
        <v>0.00619964787952543</v>
      </c>
      <c r="E437" s="23">
        <v>0.02868</v>
      </c>
      <c r="F437" s="2">
        <f t="shared" si="24"/>
        <v>0.000110307692307692</v>
      </c>
      <c r="G437" s="2">
        <f t="shared" si="27"/>
        <v>0.00608934018721774</v>
      </c>
    </row>
    <row r="438" spans="1:7">
      <c r="A438" t="s">
        <v>283</v>
      </c>
      <c r="B438" s="22">
        <v>40850</v>
      </c>
      <c r="C438" s="2">
        <f t="shared" si="25"/>
        <v>0.00988875154511743</v>
      </c>
      <c r="D438" s="2">
        <f t="shared" si="26"/>
        <v>0.00984017780151114</v>
      </c>
      <c r="E438" s="23">
        <v>0.02857</v>
      </c>
      <c r="F438" s="2">
        <f t="shared" si="24"/>
        <v>0.000109884615384615</v>
      </c>
      <c r="G438" s="2">
        <f t="shared" si="27"/>
        <v>0.00973029318612652</v>
      </c>
    </row>
    <row r="439" spans="1:7">
      <c r="A439" t="s">
        <v>284</v>
      </c>
      <c r="B439" s="22">
        <v>40250</v>
      </c>
      <c r="C439" s="2">
        <f t="shared" si="25"/>
        <v>-0.01468788249694</v>
      </c>
      <c r="D439" s="2">
        <f t="shared" si="26"/>
        <v>-0.0147968174414395</v>
      </c>
      <c r="E439" s="23">
        <v>0.02865</v>
      </c>
      <c r="F439" s="2">
        <f t="shared" si="24"/>
        <v>0.000110192307692308</v>
      </c>
      <c r="G439" s="2">
        <f t="shared" si="27"/>
        <v>-0.0149070097491318</v>
      </c>
    </row>
    <row r="440" spans="1:7">
      <c r="A440" t="s">
        <v>285</v>
      </c>
      <c r="B440" s="22">
        <v>40250</v>
      </c>
      <c r="C440" s="2">
        <f t="shared" si="25"/>
        <v>0</v>
      </c>
      <c r="D440" s="2">
        <f t="shared" si="26"/>
        <v>0</v>
      </c>
      <c r="E440" s="23">
        <v>0.02878</v>
      </c>
      <c r="F440" s="2">
        <f t="shared" si="24"/>
        <v>0.000110692307692308</v>
      </c>
      <c r="G440" s="2">
        <f t="shared" si="27"/>
        <v>-0.000110692307692308</v>
      </c>
    </row>
    <row r="441" spans="1:7">
      <c r="A441" t="s">
        <v>286</v>
      </c>
      <c r="B441" s="22">
        <v>40150</v>
      </c>
      <c r="C441" s="2">
        <f t="shared" si="25"/>
        <v>-0.00248447204968944</v>
      </c>
      <c r="D441" s="2">
        <f t="shared" si="26"/>
        <v>-0.00248756347180175</v>
      </c>
      <c r="E441" s="23">
        <v>0.02877</v>
      </c>
      <c r="F441" s="2">
        <f t="shared" si="24"/>
        <v>0.000110653846153846</v>
      </c>
      <c r="G441" s="2">
        <f t="shared" si="27"/>
        <v>-0.00259821731795559</v>
      </c>
    </row>
    <row r="442" spans="1:7">
      <c r="A442" t="s">
        <v>287</v>
      </c>
      <c r="B442" s="22">
        <v>40100</v>
      </c>
      <c r="C442" s="2">
        <f t="shared" si="25"/>
        <v>-0.0012453300124533</v>
      </c>
      <c r="D442" s="2">
        <f t="shared" si="26"/>
        <v>-0.00124610608024718</v>
      </c>
      <c r="E442" s="23">
        <v>0.02878</v>
      </c>
      <c r="F442" s="2">
        <f t="shared" si="24"/>
        <v>0.000110692307692308</v>
      </c>
      <c r="G442" s="2">
        <f t="shared" si="27"/>
        <v>-0.00135679838793949</v>
      </c>
    </row>
    <row r="443" spans="1:7">
      <c r="A443" s="21">
        <v>45570</v>
      </c>
      <c r="B443" s="22">
        <v>40350</v>
      </c>
      <c r="C443" s="2">
        <f t="shared" si="25"/>
        <v>0.00623441396508728</v>
      </c>
      <c r="D443" s="2">
        <f t="shared" si="26"/>
        <v>0.00621506040343419</v>
      </c>
      <c r="E443" s="23">
        <v>0.02862</v>
      </c>
      <c r="F443" s="2">
        <f t="shared" si="24"/>
        <v>0.000110076923076923</v>
      </c>
      <c r="G443" s="2">
        <f t="shared" si="27"/>
        <v>0.00610498348035727</v>
      </c>
    </row>
    <row r="444" spans="1:7">
      <c r="A444" s="21">
        <v>45540</v>
      </c>
      <c r="B444" s="22">
        <v>40950</v>
      </c>
      <c r="C444" s="2">
        <f t="shared" si="25"/>
        <v>0.0148698884758364</v>
      </c>
      <c r="D444" s="2">
        <f t="shared" si="26"/>
        <v>0.0147604155831207</v>
      </c>
      <c r="E444" s="23">
        <v>0.02875</v>
      </c>
      <c r="F444" s="2">
        <f t="shared" si="24"/>
        <v>0.000110576923076923</v>
      </c>
      <c r="G444" s="2">
        <f t="shared" si="27"/>
        <v>0.0146498386600438</v>
      </c>
    </row>
    <row r="445" spans="1:7">
      <c r="A445" s="21">
        <v>45509</v>
      </c>
      <c r="B445" s="22">
        <v>40900</v>
      </c>
      <c r="C445" s="2">
        <f t="shared" si="25"/>
        <v>-0.00122100122100122</v>
      </c>
      <c r="D445" s="2">
        <f t="shared" si="26"/>
        <v>-0.00122174725032236</v>
      </c>
      <c r="E445" s="23">
        <v>0.02884</v>
      </c>
      <c r="F445" s="2">
        <f t="shared" si="24"/>
        <v>0.000110923076923077</v>
      </c>
      <c r="G445" s="2">
        <f t="shared" si="27"/>
        <v>-0.00133267032724544</v>
      </c>
    </row>
    <row r="446" spans="1:7">
      <c r="A446" s="21">
        <v>45478</v>
      </c>
      <c r="B446" s="22">
        <v>41050</v>
      </c>
      <c r="C446" s="2">
        <f t="shared" si="25"/>
        <v>0.00366748166259169</v>
      </c>
      <c r="D446" s="2">
        <f t="shared" si="26"/>
        <v>0.00366077284968116</v>
      </c>
      <c r="E446" s="23">
        <v>0.02875</v>
      </c>
      <c r="F446" s="2">
        <f t="shared" si="24"/>
        <v>0.000110576923076923</v>
      </c>
      <c r="G446" s="2">
        <f t="shared" si="27"/>
        <v>0.00355019592660423</v>
      </c>
    </row>
    <row r="447" spans="1:7">
      <c r="A447" s="21">
        <v>45448</v>
      </c>
      <c r="B447" s="22">
        <v>41150</v>
      </c>
      <c r="C447" s="2">
        <f t="shared" si="25"/>
        <v>0.00243605359317905</v>
      </c>
      <c r="D447" s="2">
        <f t="shared" si="26"/>
        <v>0.00243309122464165</v>
      </c>
      <c r="E447" s="23">
        <v>0.02881</v>
      </c>
      <c r="F447" s="2">
        <f t="shared" si="24"/>
        <v>0.000110807692307692</v>
      </c>
      <c r="G447" s="2">
        <f t="shared" si="27"/>
        <v>0.00232228353233396</v>
      </c>
    </row>
    <row r="448" spans="1:7">
      <c r="A448" s="21">
        <v>45356</v>
      </c>
      <c r="B448" s="22">
        <v>41100</v>
      </c>
      <c r="C448" s="2">
        <f t="shared" si="25"/>
        <v>-0.00121506682867558</v>
      </c>
      <c r="D448" s="2">
        <f t="shared" si="26"/>
        <v>-0.00121580562088988</v>
      </c>
      <c r="E448" s="23">
        <v>0.02924</v>
      </c>
      <c r="F448" s="2">
        <f t="shared" si="24"/>
        <v>0.000112461538461538</v>
      </c>
      <c r="G448" s="2">
        <f t="shared" si="27"/>
        <v>-0.00132826715935142</v>
      </c>
    </row>
    <row r="449" spans="1:7">
      <c r="A449" s="21">
        <v>45327</v>
      </c>
      <c r="B449" s="22">
        <v>41150</v>
      </c>
      <c r="C449" s="2">
        <f t="shared" si="25"/>
        <v>0.00121654501216545</v>
      </c>
      <c r="D449" s="2">
        <f t="shared" si="26"/>
        <v>0.00121580562088995</v>
      </c>
      <c r="E449" s="23">
        <v>0.02926</v>
      </c>
      <c r="F449" s="2">
        <f t="shared" si="24"/>
        <v>0.000112538461538462</v>
      </c>
      <c r="G449" s="2">
        <f t="shared" si="27"/>
        <v>0.00110326715935149</v>
      </c>
    </row>
    <row r="450" spans="1:7">
      <c r="A450" t="s">
        <v>288</v>
      </c>
      <c r="B450" s="22">
        <v>40800</v>
      </c>
      <c r="C450" s="2">
        <f t="shared" si="25"/>
        <v>-0.00850546780072904</v>
      </c>
      <c r="D450" s="2">
        <f t="shared" si="26"/>
        <v>-0.00854184571296279</v>
      </c>
      <c r="E450" s="23">
        <v>0.029</v>
      </c>
      <c r="F450" s="2">
        <f t="shared" si="24"/>
        <v>0.000111538461538462</v>
      </c>
      <c r="G450" s="2">
        <f t="shared" si="27"/>
        <v>-0.00865338417450125</v>
      </c>
    </row>
    <row r="451" spans="1:7">
      <c r="A451" t="s">
        <v>289</v>
      </c>
      <c r="B451" s="22">
        <v>40700</v>
      </c>
      <c r="C451" s="2">
        <f t="shared" si="25"/>
        <v>-0.00245098039215686</v>
      </c>
      <c r="D451" s="2">
        <f t="shared" si="26"/>
        <v>-0.0024539889615667</v>
      </c>
      <c r="E451" s="23">
        <v>0.02903</v>
      </c>
      <c r="F451" s="2">
        <f t="shared" ref="F451:F514" si="28">E451/260</f>
        <v>0.000111653846153846</v>
      </c>
      <c r="G451" s="2">
        <f t="shared" si="27"/>
        <v>-0.00256564280772055</v>
      </c>
    </row>
    <row r="452" spans="1:7">
      <c r="A452" t="s">
        <v>290</v>
      </c>
      <c r="B452" s="22">
        <v>40600</v>
      </c>
      <c r="C452" s="2">
        <f t="shared" ref="C452:C515" si="29">(B452-B451)/B451</f>
        <v>-0.00245700245700246</v>
      </c>
      <c r="D452" s="2">
        <f t="shared" ref="D452:D515" si="30">LN(B452/B451)</f>
        <v>-0.00246002584086231</v>
      </c>
      <c r="E452" s="23">
        <v>0.02921</v>
      </c>
      <c r="F452" s="2">
        <f t="shared" si="28"/>
        <v>0.000112346153846154</v>
      </c>
      <c r="G452" s="2">
        <f t="shared" ref="G452:G515" si="31">D452-F452</f>
        <v>-0.00257237199470847</v>
      </c>
    </row>
    <row r="453" spans="1:7">
      <c r="A453" t="s">
        <v>291</v>
      </c>
      <c r="B453" s="22">
        <v>40200</v>
      </c>
      <c r="C453" s="2">
        <f t="shared" si="29"/>
        <v>-0.00985221674876847</v>
      </c>
      <c r="D453" s="2">
        <f t="shared" si="30"/>
        <v>-0.00990107098271157</v>
      </c>
      <c r="E453" s="23">
        <v>0.0291</v>
      </c>
      <c r="F453" s="2">
        <f t="shared" si="28"/>
        <v>0.000111923076923077</v>
      </c>
      <c r="G453" s="2">
        <f t="shared" si="31"/>
        <v>-0.0100129940596346</v>
      </c>
    </row>
    <row r="454" spans="1:7">
      <c r="A454" t="s">
        <v>292</v>
      </c>
      <c r="B454" s="22">
        <v>41450</v>
      </c>
      <c r="C454" s="2">
        <f t="shared" si="29"/>
        <v>0.0310945273631841</v>
      </c>
      <c r="D454" s="2">
        <f t="shared" si="30"/>
        <v>0.0306208859563287</v>
      </c>
      <c r="E454" s="23">
        <v>0.02927</v>
      </c>
      <c r="F454" s="2">
        <f t="shared" si="28"/>
        <v>0.000112576923076923</v>
      </c>
      <c r="G454" s="2">
        <f t="shared" si="31"/>
        <v>0.0305083090332518</v>
      </c>
    </row>
    <row r="455" spans="1:7">
      <c r="A455" t="s">
        <v>293</v>
      </c>
      <c r="B455" s="22">
        <v>41500</v>
      </c>
      <c r="C455" s="2">
        <f t="shared" si="29"/>
        <v>0.00120627261761158</v>
      </c>
      <c r="D455" s="2">
        <f t="shared" si="30"/>
        <v>0.00120554565534869</v>
      </c>
      <c r="E455" s="23">
        <v>0.02922</v>
      </c>
      <c r="F455" s="2">
        <f t="shared" si="28"/>
        <v>0.000112384615384615</v>
      </c>
      <c r="G455" s="2">
        <f t="shared" si="31"/>
        <v>0.00109316103996407</v>
      </c>
    </row>
    <row r="456" spans="1:7">
      <c r="A456" t="s">
        <v>294</v>
      </c>
      <c r="B456" s="22">
        <v>41800</v>
      </c>
      <c r="C456" s="2">
        <f t="shared" si="29"/>
        <v>0.0072289156626506</v>
      </c>
      <c r="D456" s="2">
        <f t="shared" si="30"/>
        <v>0.00720291229405802</v>
      </c>
      <c r="E456" s="23">
        <v>0.02923</v>
      </c>
      <c r="F456" s="2">
        <f t="shared" si="28"/>
        <v>0.000112423076923077</v>
      </c>
      <c r="G456" s="2">
        <f t="shared" si="31"/>
        <v>0.00709048921713494</v>
      </c>
    </row>
    <row r="457" spans="1:7">
      <c r="A457" t="s">
        <v>295</v>
      </c>
      <c r="B457" s="22">
        <v>42700</v>
      </c>
      <c r="C457" s="2">
        <f t="shared" si="29"/>
        <v>0.0215311004784689</v>
      </c>
      <c r="D457" s="2">
        <f t="shared" si="30"/>
        <v>0.0213025807038682</v>
      </c>
      <c r="E457" s="23">
        <v>0.0294</v>
      </c>
      <c r="F457" s="2">
        <f t="shared" si="28"/>
        <v>0.000113076923076923</v>
      </c>
      <c r="G457" s="2">
        <f t="shared" si="31"/>
        <v>0.0211895037807913</v>
      </c>
    </row>
    <row r="458" spans="1:7">
      <c r="A458" t="s">
        <v>296</v>
      </c>
      <c r="B458" s="22">
        <v>42400</v>
      </c>
      <c r="C458" s="2">
        <f t="shared" si="29"/>
        <v>-0.00702576112412178</v>
      </c>
      <c r="D458" s="2">
        <f t="shared" si="30"/>
        <v>-0.0070505579966668</v>
      </c>
      <c r="E458" s="23">
        <v>0.02894</v>
      </c>
      <c r="F458" s="2">
        <f t="shared" si="28"/>
        <v>0.000111307692307692</v>
      </c>
      <c r="G458" s="2">
        <f t="shared" si="31"/>
        <v>-0.00716186568897449</v>
      </c>
    </row>
    <row r="459" spans="1:7">
      <c r="A459" s="21">
        <v>45630</v>
      </c>
      <c r="B459" s="22">
        <v>44500</v>
      </c>
      <c r="C459" s="2">
        <f t="shared" si="29"/>
        <v>0.0495283018867925</v>
      </c>
      <c r="D459" s="2">
        <f t="shared" si="30"/>
        <v>0.0483408269342825</v>
      </c>
      <c r="E459" s="23">
        <v>0.02861</v>
      </c>
      <c r="F459" s="2">
        <f t="shared" si="28"/>
        <v>0.000110038461538462</v>
      </c>
      <c r="G459" s="2">
        <f t="shared" si="31"/>
        <v>0.048230788472744</v>
      </c>
    </row>
    <row r="460" spans="1:7">
      <c r="A460" s="21">
        <v>45600</v>
      </c>
      <c r="B460" s="22">
        <v>44150</v>
      </c>
      <c r="C460" s="2">
        <f t="shared" si="29"/>
        <v>-0.00786516853932584</v>
      </c>
      <c r="D460" s="2">
        <f t="shared" si="30"/>
        <v>-0.00789626212222551</v>
      </c>
      <c r="E460" s="23">
        <v>0.02831</v>
      </c>
      <c r="F460" s="2">
        <f t="shared" si="28"/>
        <v>0.000108884615384615</v>
      </c>
      <c r="G460" s="2">
        <f t="shared" si="31"/>
        <v>-0.00800514673761012</v>
      </c>
    </row>
    <row r="461" spans="1:7">
      <c r="A461" s="21">
        <v>45569</v>
      </c>
      <c r="B461" s="22">
        <v>44200</v>
      </c>
      <c r="C461" s="2">
        <f t="shared" si="29"/>
        <v>0.00113250283125708</v>
      </c>
      <c r="D461" s="2">
        <f t="shared" si="30"/>
        <v>0.00113186203368333</v>
      </c>
      <c r="E461" s="23">
        <v>0.02809</v>
      </c>
      <c r="F461" s="2">
        <f t="shared" si="28"/>
        <v>0.000108038461538462</v>
      </c>
      <c r="G461" s="2">
        <f t="shared" si="31"/>
        <v>0.00102382357214487</v>
      </c>
    </row>
    <row r="462" spans="1:7">
      <c r="A462" s="21">
        <v>45539</v>
      </c>
      <c r="B462" s="22">
        <v>43200</v>
      </c>
      <c r="C462" s="2">
        <f t="shared" si="29"/>
        <v>-0.0226244343891403</v>
      </c>
      <c r="D462" s="2">
        <f t="shared" si="30"/>
        <v>-0.0228842938335878</v>
      </c>
      <c r="E462" s="23">
        <v>0.02809</v>
      </c>
      <c r="F462" s="2">
        <f t="shared" si="28"/>
        <v>0.000108038461538462</v>
      </c>
      <c r="G462" s="2">
        <f t="shared" si="31"/>
        <v>-0.0229923322951263</v>
      </c>
    </row>
    <row r="463" spans="1:7">
      <c r="A463" s="21">
        <v>45508</v>
      </c>
      <c r="B463" s="22">
        <v>43000</v>
      </c>
      <c r="C463" s="2">
        <f t="shared" si="29"/>
        <v>-0.00462962962962963</v>
      </c>
      <c r="D463" s="2">
        <f t="shared" si="30"/>
        <v>-0.00464037955650223</v>
      </c>
      <c r="E463" s="23">
        <v>0.02871</v>
      </c>
      <c r="F463" s="2">
        <f t="shared" si="28"/>
        <v>0.000110423076923077</v>
      </c>
      <c r="G463" s="2">
        <f t="shared" si="31"/>
        <v>-0.0047508026334253</v>
      </c>
    </row>
    <row r="464" spans="1:7">
      <c r="A464" s="21">
        <v>45416</v>
      </c>
      <c r="B464" s="22">
        <v>42950</v>
      </c>
      <c r="C464" s="2">
        <f t="shared" si="29"/>
        <v>-0.00116279069767442</v>
      </c>
      <c r="D464" s="2">
        <f t="shared" si="30"/>
        <v>-0.00116346726329807</v>
      </c>
      <c r="E464" s="23">
        <v>0.02883</v>
      </c>
      <c r="F464" s="2">
        <f t="shared" si="28"/>
        <v>0.000110884615384615</v>
      </c>
      <c r="G464" s="2">
        <f t="shared" si="31"/>
        <v>-0.00127435187868269</v>
      </c>
    </row>
    <row r="465" spans="1:7">
      <c r="A465" s="21">
        <v>45386</v>
      </c>
      <c r="B465" s="22">
        <v>43000</v>
      </c>
      <c r="C465" s="2">
        <f t="shared" si="29"/>
        <v>0.00116414435389988</v>
      </c>
      <c r="D465" s="2">
        <f t="shared" si="30"/>
        <v>0.00116346726329805</v>
      </c>
      <c r="E465" s="23">
        <v>0.02922</v>
      </c>
      <c r="F465" s="2">
        <f t="shared" si="28"/>
        <v>0.000112384615384615</v>
      </c>
      <c r="G465" s="2">
        <f t="shared" si="31"/>
        <v>0.00105108264791343</v>
      </c>
    </row>
    <row r="466" spans="1:7">
      <c r="A466" s="21">
        <v>45355</v>
      </c>
      <c r="B466" s="22">
        <v>43100</v>
      </c>
      <c r="C466" s="2">
        <f t="shared" si="29"/>
        <v>0.00232558139534884</v>
      </c>
      <c r="D466" s="2">
        <f t="shared" si="30"/>
        <v>0.00232288141613973</v>
      </c>
      <c r="E466" s="23">
        <v>0.02915</v>
      </c>
      <c r="F466" s="2">
        <f t="shared" si="28"/>
        <v>0.000112115384615385</v>
      </c>
      <c r="G466" s="2">
        <f t="shared" si="31"/>
        <v>0.00221076603152434</v>
      </c>
    </row>
    <row r="467" spans="1:7">
      <c r="A467" s="21">
        <v>45326</v>
      </c>
      <c r="B467" s="22">
        <v>43150</v>
      </c>
      <c r="C467" s="2">
        <f t="shared" si="29"/>
        <v>0.00116009280742459</v>
      </c>
      <c r="D467" s="2">
        <f t="shared" si="30"/>
        <v>0.00115942041973494</v>
      </c>
      <c r="E467" s="23">
        <v>0.02879</v>
      </c>
      <c r="F467" s="2">
        <f t="shared" si="28"/>
        <v>0.000110730769230769</v>
      </c>
      <c r="G467" s="2">
        <f t="shared" si="31"/>
        <v>0.00104868965050417</v>
      </c>
    </row>
    <row r="468" spans="1:7">
      <c r="A468" s="21">
        <v>45295</v>
      </c>
      <c r="B468" s="22">
        <v>42900</v>
      </c>
      <c r="C468" s="2">
        <f t="shared" si="29"/>
        <v>-0.00579374275782155</v>
      </c>
      <c r="D468" s="2">
        <f t="shared" si="30"/>
        <v>-0.00581059159546563</v>
      </c>
      <c r="E468" s="23">
        <v>0.02757</v>
      </c>
      <c r="F468" s="2">
        <f t="shared" si="28"/>
        <v>0.000106038461538462</v>
      </c>
      <c r="G468" s="2">
        <f t="shared" si="31"/>
        <v>-0.00591663005700409</v>
      </c>
    </row>
    <row r="469" spans="1:7">
      <c r="A469" t="s">
        <v>297</v>
      </c>
      <c r="B469" s="22">
        <v>42850</v>
      </c>
      <c r="C469" s="2">
        <f t="shared" si="29"/>
        <v>-0.00116550116550117</v>
      </c>
      <c r="D469" s="2">
        <f t="shared" si="30"/>
        <v>-0.00116618089018251</v>
      </c>
      <c r="E469" s="23">
        <v>0.02747</v>
      </c>
      <c r="F469" s="2">
        <f t="shared" si="28"/>
        <v>0.000105653846153846</v>
      </c>
      <c r="G469" s="2">
        <f t="shared" si="31"/>
        <v>-0.00127183473633635</v>
      </c>
    </row>
    <row r="470" spans="1:7">
      <c r="A470" t="s">
        <v>298</v>
      </c>
      <c r="B470" s="22">
        <v>43300</v>
      </c>
      <c r="C470" s="2">
        <f t="shared" si="29"/>
        <v>0.0105017502917153</v>
      </c>
      <c r="D470" s="2">
        <f t="shared" si="30"/>
        <v>0.0104469899646554</v>
      </c>
      <c r="E470" s="23">
        <v>0.02678</v>
      </c>
      <c r="F470" s="2">
        <f t="shared" si="28"/>
        <v>0.000103</v>
      </c>
      <c r="G470" s="2">
        <f t="shared" si="31"/>
        <v>0.0103439899646554</v>
      </c>
    </row>
    <row r="471" spans="1:7">
      <c r="A471" t="s">
        <v>299</v>
      </c>
      <c r="B471" s="22">
        <v>42500</v>
      </c>
      <c r="C471" s="2">
        <f t="shared" si="29"/>
        <v>-0.0184757505773672</v>
      </c>
      <c r="D471" s="2">
        <f t="shared" si="30"/>
        <v>-0.018648559078073</v>
      </c>
      <c r="E471" s="23">
        <v>0.02683</v>
      </c>
      <c r="F471" s="2">
        <f t="shared" si="28"/>
        <v>0.000103192307692308</v>
      </c>
      <c r="G471" s="2">
        <f t="shared" si="31"/>
        <v>-0.0187517513857653</v>
      </c>
    </row>
    <row r="472" spans="1:7">
      <c r="A472" t="s">
        <v>300</v>
      </c>
      <c r="B472" s="22">
        <v>42750</v>
      </c>
      <c r="C472" s="2">
        <f t="shared" si="29"/>
        <v>0.00588235294117647</v>
      </c>
      <c r="D472" s="2">
        <f t="shared" si="30"/>
        <v>0.00586511945239806</v>
      </c>
      <c r="E472" s="23">
        <v>0.02663</v>
      </c>
      <c r="F472" s="2">
        <f t="shared" si="28"/>
        <v>0.000102423076923077</v>
      </c>
      <c r="G472" s="2">
        <f t="shared" si="31"/>
        <v>0.00576269637547498</v>
      </c>
    </row>
    <row r="473" spans="1:7">
      <c r="A473" t="s">
        <v>301</v>
      </c>
      <c r="B473" s="22">
        <v>42550</v>
      </c>
      <c r="C473" s="2">
        <f t="shared" si="29"/>
        <v>-0.00467836257309942</v>
      </c>
      <c r="D473" s="2">
        <f t="shared" si="30"/>
        <v>-0.00468934036338606</v>
      </c>
      <c r="E473" s="23">
        <v>0.02658</v>
      </c>
      <c r="F473" s="2">
        <f t="shared" si="28"/>
        <v>0.000102230769230769</v>
      </c>
      <c r="G473" s="2">
        <f t="shared" si="31"/>
        <v>-0.00479157113261683</v>
      </c>
    </row>
    <row r="474" spans="1:7">
      <c r="A474" t="s">
        <v>302</v>
      </c>
      <c r="B474" s="22">
        <v>42800</v>
      </c>
      <c r="C474" s="2">
        <f t="shared" si="29"/>
        <v>0.00587544065804935</v>
      </c>
      <c r="D474" s="2">
        <f t="shared" si="30"/>
        <v>0.00585824756836807</v>
      </c>
      <c r="E474" s="23">
        <v>0.02636</v>
      </c>
      <c r="F474" s="2">
        <f t="shared" si="28"/>
        <v>0.000101384615384615</v>
      </c>
      <c r="G474" s="2">
        <f t="shared" si="31"/>
        <v>0.00575686295298345</v>
      </c>
    </row>
    <row r="475" spans="1:7">
      <c r="A475" t="s">
        <v>303</v>
      </c>
      <c r="B475" s="22">
        <v>42900</v>
      </c>
      <c r="C475" s="2">
        <f t="shared" si="29"/>
        <v>0.00233644859813084</v>
      </c>
      <c r="D475" s="2">
        <f t="shared" si="30"/>
        <v>0.0023337233462201</v>
      </c>
      <c r="E475" s="23">
        <v>0.02619</v>
      </c>
      <c r="F475" s="2">
        <f t="shared" si="28"/>
        <v>0.000100730769230769</v>
      </c>
      <c r="G475" s="2">
        <f t="shared" si="31"/>
        <v>0.00223299257698933</v>
      </c>
    </row>
    <row r="476" spans="1:7">
      <c r="A476" t="s">
        <v>304</v>
      </c>
      <c r="B476" s="22">
        <v>42500</v>
      </c>
      <c r="C476" s="2">
        <f t="shared" si="29"/>
        <v>-0.00932400932400932</v>
      </c>
      <c r="D476" s="2">
        <f t="shared" si="30"/>
        <v>-0.00936775000360016</v>
      </c>
      <c r="E476" s="23">
        <v>0.02641</v>
      </c>
      <c r="F476" s="2">
        <f t="shared" si="28"/>
        <v>0.000101576923076923</v>
      </c>
      <c r="G476" s="2">
        <f t="shared" si="31"/>
        <v>-0.00946932692667708</v>
      </c>
    </row>
    <row r="477" spans="1:7">
      <c r="A477" t="s">
        <v>305</v>
      </c>
      <c r="B477" s="22">
        <v>42900</v>
      </c>
      <c r="C477" s="2">
        <f t="shared" si="29"/>
        <v>0.00941176470588235</v>
      </c>
      <c r="D477" s="2">
        <f t="shared" si="30"/>
        <v>0.00936775000360024</v>
      </c>
      <c r="E477" s="23">
        <v>0.02622</v>
      </c>
      <c r="F477" s="2">
        <f t="shared" si="28"/>
        <v>0.000100846153846154</v>
      </c>
      <c r="G477" s="2">
        <f t="shared" si="31"/>
        <v>0.00926690384975409</v>
      </c>
    </row>
    <row r="478" spans="1:7">
      <c r="A478" t="s">
        <v>306</v>
      </c>
      <c r="B478" s="22">
        <v>42100</v>
      </c>
      <c r="C478" s="2">
        <f t="shared" si="29"/>
        <v>-0.0186480186480186</v>
      </c>
      <c r="D478" s="2">
        <f t="shared" si="30"/>
        <v>-0.0188240852456356</v>
      </c>
      <c r="E478" s="23">
        <v>0.0263</v>
      </c>
      <c r="F478" s="2">
        <f t="shared" si="28"/>
        <v>0.000101153846153846</v>
      </c>
      <c r="G478" s="2">
        <f t="shared" si="31"/>
        <v>-0.0189252390917894</v>
      </c>
    </row>
    <row r="479" spans="1:7">
      <c r="A479" t="s">
        <v>307</v>
      </c>
      <c r="B479" s="22">
        <v>42400</v>
      </c>
      <c r="C479" s="2">
        <f t="shared" si="29"/>
        <v>0.00712589073634204</v>
      </c>
      <c r="D479" s="2">
        <f t="shared" si="30"/>
        <v>0.00710062154957637</v>
      </c>
      <c r="E479" s="23">
        <v>0.02623</v>
      </c>
      <c r="F479" s="2">
        <f t="shared" si="28"/>
        <v>0.000100884615384615</v>
      </c>
      <c r="G479" s="2">
        <f t="shared" si="31"/>
        <v>0.00699973693419175</v>
      </c>
    </row>
    <row r="480" spans="1:7">
      <c r="A480" t="s">
        <v>308</v>
      </c>
      <c r="B480" s="22">
        <v>42900</v>
      </c>
      <c r="C480" s="2">
        <f t="shared" si="29"/>
        <v>0.0117924528301887</v>
      </c>
      <c r="D480" s="2">
        <f t="shared" si="30"/>
        <v>0.0117234636960592</v>
      </c>
      <c r="E480" s="23">
        <v>0.02607</v>
      </c>
      <c r="F480" s="2">
        <f t="shared" si="28"/>
        <v>0.000100269230769231</v>
      </c>
      <c r="G480" s="2">
        <f t="shared" si="31"/>
        <v>0.01162319446529</v>
      </c>
    </row>
    <row r="481" spans="1:7">
      <c r="A481" t="s">
        <v>309</v>
      </c>
      <c r="B481" s="22">
        <v>42950</v>
      </c>
      <c r="C481" s="2">
        <f t="shared" si="29"/>
        <v>0.00116550116550117</v>
      </c>
      <c r="D481" s="2">
        <f t="shared" si="30"/>
        <v>0.00116482249629311</v>
      </c>
      <c r="E481" s="23">
        <v>0.02619</v>
      </c>
      <c r="F481" s="2">
        <f t="shared" si="28"/>
        <v>0.000100730769230769</v>
      </c>
      <c r="G481" s="2">
        <f t="shared" si="31"/>
        <v>0.00106409172706234</v>
      </c>
    </row>
    <row r="482" spans="1:7">
      <c r="A482" s="21">
        <v>45629</v>
      </c>
      <c r="B482" s="22">
        <v>42700</v>
      </c>
      <c r="C482" s="2">
        <f t="shared" si="29"/>
        <v>-0.00582072176949942</v>
      </c>
      <c r="D482" s="2">
        <f t="shared" si="30"/>
        <v>-0.00583772819568553</v>
      </c>
      <c r="E482" s="23">
        <v>0.02609</v>
      </c>
      <c r="F482" s="2">
        <f t="shared" si="28"/>
        <v>0.000100346153846154</v>
      </c>
      <c r="G482" s="2">
        <f t="shared" si="31"/>
        <v>-0.00593807434953168</v>
      </c>
    </row>
    <row r="483" spans="1:7">
      <c r="A483" s="21">
        <v>45599</v>
      </c>
      <c r="B483" s="22">
        <v>42550</v>
      </c>
      <c r="C483" s="2">
        <f t="shared" si="29"/>
        <v>-0.00351288056206089</v>
      </c>
      <c r="D483" s="2">
        <f t="shared" si="30"/>
        <v>-0.00351906521519573</v>
      </c>
      <c r="E483" s="23">
        <v>0.02586</v>
      </c>
      <c r="F483" s="2">
        <f t="shared" si="28"/>
        <v>9.94615384615384e-5</v>
      </c>
      <c r="G483" s="2">
        <f t="shared" si="31"/>
        <v>-0.00361852675365727</v>
      </c>
    </row>
    <row r="484" spans="1:7">
      <c r="A484" s="21">
        <v>45507</v>
      </c>
      <c r="B484" s="22">
        <v>42550</v>
      </c>
      <c r="C484" s="2">
        <f t="shared" si="29"/>
        <v>0</v>
      </c>
      <c r="D484" s="2">
        <f t="shared" si="30"/>
        <v>0</v>
      </c>
      <c r="E484" s="23">
        <v>0.02616</v>
      </c>
      <c r="F484" s="2">
        <f t="shared" si="28"/>
        <v>0.000100615384615385</v>
      </c>
      <c r="G484" s="2">
        <f t="shared" si="31"/>
        <v>-0.000100615384615385</v>
      </c>
    </row>
    <row r="485" spans="1:7">
      <c r="A485" s="21">
        <v>45476</v>
      </c>
      <c r="B485" s="22">
        <v>43200</v>
      </c>
      <c r="C485" s="2">
        <f t="shared" si="29"/>
        <v>0.0152761457109283</v>
      </c>
      <c r="D485" s="2">
        <f t="shared" si="30"/>
        <v>0.0151606402306814</v>
      </c>
      <c r="E485" s="23">
        <v>0.02495</v>
      </c>
      <c r="F485" s="2">
        <f t="shared" si="28"/>
        <v>9.59615384615385e-5</v>
      </c>
      <c r="G485" s="2">
        <f t="shared" si="31"/>
        <v>0.0150646786922199</v>
      </c>
    </row>
    <row r="486" spans="1:7">
      <c r="A486" s="21">
        <v>45446</v>
      </c>
      <c r="B486" s="22">
        <v>43100</v>
      </c>
      <c r="C486" s="2">
        <f t="shared" si="29"/>
        <v>-0.00231481481481481</v>
      </c>
      <c r="D486" s="2">
        <f t="shared" si="30"/>
        <v>-0.00231749814036248</v>
      </c>
      <c r="E486" s="23">
        <v>0.02427</v>
      </c>
      <c r="F486" s="2">
        <f t="shared" si="28"/>
        <v>9.33461538461538e-5</v>
      </c>
      <c r="G486" s="2">
        <f t="shared" si="31"/>
        <v>-0.00241084429420863</v>
      </c>
    </row>
    <row r="487" spans="1:7">
      <c r="A487" s="21">
        <v>45415</v>
      </c>
      <c r="B487" s="22">
        <v>43650</v>
      </c>
      <c r="C487" s="2">
        <f t="shared" si="29"/>
        <v>0.0127610208816705</v>
      </c>
      <c r="D487" s="2">
        <f t="shared" si="30"/>
        <v>0.0126802851759092</v>
      </c>
      <c r="E487" s="23">
        <v>0.02403</v>
      </c>
      <c r="F487" s="2">
        <f t="shared" si="28"/>
        <v>9.24230769230769e-5</v>
      </c>
      <c r="G487" s="2">
        <f t="shared" si="31"/>
        <v>0.0125878620989861</v>
      </c>
    </row>
    <row r="488" spans="1:7">
      <c r="A488" s="21">
        <v>45385</v>
      </c>
      <c r="B488" s="22">
        <v>43950</v>
      </c>
      <c r="C488" s="2">
        <f t="shared" si="29"/>
        <v>0.00687285223367698</v>
      </c>
      <c r="D488" s="2">
        <f t="shared" si="30"/>
        <v>0.00684934184557477</v>
      </c>
      <c r="E488" s="23">
        <v>0.02406</v>
      </c>
      <c r="F488" s="2">
        <f t="shared" si="28"/>
        <v>9.25384615384615e-5</v>
      </c>
      <c r="G488" s="2">
        <f t="shared" si="31"/>
        <v>0.00675680338403631</v>
      </c>
    </row>
    <row r="489" spans="1:7">
      <c r="A489" s="21">
        <v>45294</v>
      </c>
      <c r="B489" s="22">
        <v>43950</v>
      </c>
      <c r="C489" s="2">
        <f t="shared" si="29"/>
        <v>0</v>
      </c>
      <c r="D489" s="2">
        <f t="shared" si="30"/>
        <v>0</v>
      </c>
      <c r="E489" s="23">
        <v>0.02406</v>
      </c>
      <c r="F489" s="2">
        <f t="shared" si="28"/>
        <v>9.25384615384615e-5</v>
      </c>
      <c r="G489" s="2">
        <f t="shared" si="31"/>
        <v>-9.25384615384615e-5</v>
      </c>
    </row>
    <row r="490" spans="1:7">
      <c r="A490" t="s">
        <v>310</v>
      </c>
      <c r="B490" s="22">
        <v>43400</v>
      </c>
      <c r="C490" s="2">
        <f t="shared" si="29"/>
        <v>-0.012514220705347</v>
      </c>
      <c r="D490" s="2">
        <f t="shared" si="30"/>
        <v>-0.0125931830248269</v>
      </c>
      <c r="E490" s="23">
        <v>0.02462</v>
      </c>
      <c r="F490" s="2">
        <f t="shared" si="28"/>
        <v>9.46923076923077e-5</v>
      </c>
      <c r="G490" s="2">
        <f t="shared" si="31"/>
        <v>-0.0126878753325192</v>
      </c>
    </row>
    <row r="491" spans="1:7">
      <c r="A491" t="s">
        <v>311</v>
      </c>
      <c r="B491" s="22">
        <v>44400</v>
      </c>
      <c r="C491" s="2">
        <f t="shared" si="29"/>
        <v>0.0230414746543779</v>
      </c>
      <c r="D491" s="2">
        <f t="shared" si="30"/>
        <v>0.0227800283318199</v>
      </c>
      <c r="E491" s="23">
        <v>0.02378</v>
      </c>
      <c r="F491" s="2">
        <f t="shared" si="28"/>
        <v>9.14615384615385e-5</v>
      </c>
      <c r="G491" s="2">
        <f t="shared" si="31"/>
        <v>0.0226885667933584</v>
      </c>
    </row>
    <row r="492" spans="1:7">
      <c r="A492" t="s">
        <v>312</v>
      </c>
      <c r="B492" s="22">
        <v>44200</v>
      </c>
      <c r="C492" s="2">
        <f t="shared" si="29"/>
        <v>-0.0045045045045045</v>
      </c>
      <c r="D492" s="2">
        <f t="shared" si="30"/>
        <v>-0.00451468035452658</v>
      </c>
      <c r="E492" s="23">
        <v>0.02424</v>
      </c>
      <c r="F492" s="2">
        <f t="shared" si="28"/>
        <v>9.32307692307692e-5</v>
      </c>
      <c r="G492" s="2">
        <f t="shared" si="31"/>
        <v>-0.00460791112375735</v>
      </c>
    </row>
    <row r="493" spans="1:7">
      <c r="A493" t="s">
        <v>313</v>
      </c>
      <c r="B493" s="22">
        <v>43350</v>
      </c>
      <c r="C493" s="2">
        <f t="shared" si="29"/>
        <v>-0.0192307692307692</v>
      </c>
      <c r="D493" s="2">
        <f t="shared" si="30"/>
        <v>-0.0194180858571016</v>
      </c>
      <c r="E493" s="23">
        <v>0.02462</v>
      </c>
      <c r="F493" s="2">
        <f t="shared" si="28"/>
        <v>9.46923076923077e-5</v>
      </c>
      <c r="G493" s="2">
        <f t="shared" si="31"/>
        <v>-0.0195127781647939</v>
      </c>
    </row>
    <row r="494" spans="1:7">
      <c r="A494" t="s">
        <v>314</v>
      </c>
      <c r="B494" s="22">
        <v>43300</v>
      </c>
      <c r="C494" s="2">
        <f t="shared" si="29"/>
        <v>-0.00115340253748558</v>
      </c>
      <c r="D494" s="2">
        <f t="shared" si="30"/>
        <v>-0.00115406821810675</v>
      </c>
      <c r="E494" s="23">
        <v>0.02427</v>
      </c>
      <c r="F494" s="2">
        <f t="shared" si="28"/>
        <v>9.33461538461538e-5</v>
      </c>
      <c r="G494" s="2">
        <f t="shared" si="31"/>
        <v>-0.0012474143719529</v>
      </c>
    </row>
    <row r="495" spans="1:7">
      <c r="A495" t="s">
        <v>315</v>
      </c>
      <c r="B495" s="22">
        <v>44800</v>
      </c>
      <c r="C495" s="2">
        <f t="shared" si="29"/>
        <v>0.0346420323325635</v>
      </c>
      <c r="D495" s="2">
        <f t="shared" si="30"/>
        <v>0.0340555044124954</v>
      </c>
      <c r="E495" s="23">
        <v>0.0241</v>
      </c>
      <c r="F495" s="2">
        <f t="shared" si="28"/>
        <v>9.26923076923077e-5</v>
      </c>
      <c r="G495" s="2">
        <f t="shared" si="31"/>
        <v>0.0339628121048031</v>
      </c>
    </row>
    <row r="496" spans="1:7">
      <c r="A496" t="s">
        <v>316</v>
      </c>
      <c r="B496" s="22">
        <v>45000</v>
      </c>
      <c r="C496" s="2">
        <f t="shared" si="29"/>
        <v>0.00446428571428571</v>
      </c>
      <c r="D496" s="2">
        <f t="shared" si="30"/>
        <v>0.00445435034938037</v>
      </c>
      <c r="E496" s="23">
        <v>0.02385</v>
      </c>
      <c r="F496" s="2">
        <f t="shared" si="28"/>
        <v>9.17307692307692e-5</v>
      </c>
      <c r="G496" s="2">
        <f t="shared" si="31"/>
        <v>0.00436261958014961</v>
      </c>
    </row>
    <row r="497" spans="1:7">
      <c r="A497" t="s">
        <v>317</v>
      </c>
      <c r="B497" s="22">
        <v>46150</v>
      </c>
      <c r="C497" s="2">
        <f t="shared" si="29"/>
        <v>0.0255555555555556</v>
      </c>
      <c r="D497" s="2">
        <f t="shared" si="30"/>
        <v>0.0252344711785414</v>
      </c>
      <c r="E497" s="23">
        <v>0.02402</v>
      </c>
      <c r="F497" s="2">
        <f t="shared" si="28"/>
        <v>9.23846153846154e-5</v>
      </c>
      <c r="G497" s="2">
        <f t="shared" si="31"/>
        <v>0.0251420865631568</v>
      </c>
    </row>
    <row r="498" spans="1:7">
      <c r="A498" t="s">
        <v>318</v>
      </c>
      <c r="B498" s="22">
        <v>45550</v>
      </c>
      <c r="C498" s="2">
        <f t="shared" si="29"/>
        <v>-0.0130010834236186</v>
      </c>
      <c r="D498" s="2">
        <f t="shared" si="30"/>
        <v>-0.0130863372428938</v>
      </c>
      <c r="E498" s="23">
        <v>0.02393</v>
      </c>
      <c r="F498" s="2">
        <f t="shared" si="28"/>
        <v>9.20384615384615e-5</v>
      </c>
      <c r="G498" s="2">
        <f t="shared" si="31"/>
        <v>-0.0131783757044323</v>
      </c>
    </row>
    <row r="499" spans="1:7">
      <c r="A499" t="s">
        <v>319</v>
      </c>
      <c r="B499" s="22">
        <v>42700</v>
      </c>
      <c r="C499" s="2">
        <f t="shared" si="29"/>
        <v>-0.0625686059275521</v>
      </c>
      <c r="D499" s="2">
        <f t="shared" si="30"/>
        <v>-0.0646117034713884</v>
      </c>
      <c r="E499" s="23">
        <v>0.02382</v>
      </c>
      <c r="F499" s="2">
        <f t="shared" si="28"/>
        <v>9.16153846153846e-5</v>
      </c>
      <c r="G499" s="2">
        <f t="shared" si="31"/>
        <v>-0.0647033188560038</v>
      </c>
    </row>
    <row r="500" spans="1:7">
      <c r="A500" t="s">
        <v>320</v>
      </c>
      <c r="B500" s="22">
        <v>41950</v>
      </c>
      <c r="C500" s="2">
        <f t="shared" si="29"/>
        <v>-0.0175644028103044</v>
      </c>
      <c r="D500" s="2">
        <f t="shared" si="30"/>
        <v>-0.0177204873213637</v>
      </c>
      <c r="E500" s="23">
        <v>0.02398</v>
      </c>
      <c r="F500" s="2">
        <f t="shared" si="28"/>
        <v>9.22307692307692e-5</v>
      </c>
      <c r="G500" s="2">
        <f t="shared" si="31"/>
        <v>-0.0178127180905945</v>
      </c>
    </row>
    <row r="501" spans="1:7">
      <c r="A501" s="21">
        <v>45475</v>
      </c>
      <c r="B501" s="22">
        <v>41800</v>
      </c>
      <c r="C501" s="2">
        <f t="shared" si="29"/>
        <v>-0.00357568533969011</v>
      </c>
      <c r="D501" s="2">
        <f t="shared" si="30"/>
        <v>-0.00358209338250455</v>
      </c>
      <c r="E501" s="23">
        <v>0.02405</v>
      </c>
      <c r="F501" s="2">
        <f t="shared" si="28"/>
        <v>9.25e-5</v>
      </c>
      <c r="G501" s="2">
        <f t="shared" si="31"/>
        <v>-0.00367459338250455</v>
      </c>
    </row>
    <row r="502" spans="1:7">
      <c r="A502" s="21">
        <v>45445</v>
      </c>
      <c r="B502" s="22">
        <v>41000</v>
      </c>
      <c r="C502" s="2">
        <f t="shared" si="29"/>
        <v>-0.0191387559808612</v>
      </c>
      <c r="D502" s="2">
        <f t="shared" si="30"/>
        <v>-0.0193242728264028</v>
      </c>
      <c r="E502" s="23">
        <v>0.02422</v>
      </c>
      <c r="F502" s="2">
        <f t="shared" si="28"/>
        <v>9.31538461538462e-5</v>
      </c>
      <c r="G502" s="2">
        <f t="shared" si="31"/>
        <v>-0.0194174266725567</v>
      </c>
    </row>
    <row r="503" spans="1:7">
      <c r="A503" s="21">
        <v>45414</v>
      </c>
      <c r="B503" s="22">
        <v>41250</v>
      </c>
      <c r="C503" s="2">
        <f t="shared" si="29"/>
        <v>0.00609756097560976</v>
      </c>
      <c r="D503" s="2">
        <f t="shared" si="30"/>
        <v>0.00607904607638219</v>
      </c>
      <c r="E503" s="23">
        <v>0.02438</v>
      </c>
      <c r="F503" s="2">
        <f t="shared" si="28"/>
        <v>9.37692307692308e-5</v>
      </c>
      <c r="G503" s="2">
        <f t="shared" si="31"/>
        <v>0.00598527684561296</v>
      </c>
    </row>
    <row r="504" spans="1:7">
      <c r="A504" s="21">
        <v>45324</v>
      </c>
      <c r="B504" s="22">
        <v>41200</v>
      </c>
      <c r="C504" s="2">
        <f t="shared" si="29"/>
        <v>-0.00121212121212121</v>
      </c>
      <c r="D504" s="2">
        <f t="shared" si="30"/>
        <v>-0.00121285642520929</v>
      </c>
      <c r="E504" s="23">
        <v>0.02405</v>
      </c>
      <c r="F504" s="2">
        <f t="shared" si="28"/>
        <v>9.25e-5</v>
      </c>
      <c r="G504" s="2">
        <f t="shared" si="31"/>
        <v>-0.00130535642520929</v>
      </c>
    </row>
    <row r="505" spans="1:7">
      <c r="A505" s="21">
        <v>45293</v>
      </c>
      <c r="B505" s="22">
        <v>41200</v>
      </c>
      <c r="C505" s="2">
        <f t="shared" si="29"/>
        <v>0</v>
      </c>
      <c r="D505" s="2">
        <f t="shared" si="30"/>
        <v>0</v>
      </c>
      <c r="E505" s="23">
        <v>0.02413</v>
      </c>
      <c r="F505" s="2">
        <f t="shared" si="28"/>
        <v>9.28076923076923e-5</v>
      </c>
      <c r="G505" s="2">
        <f t="shared" si="31"/>
        <v>-9.28076923076923e-5</v>
      </c>
    </row>
    <row r="506" spans="1:7">
      <c r="A506" t="s">
        <v>321</v>
      </c>
      <c r="B506" s="22">
        <v>41500</v>
      </c>
      <c r="C506" s="2">
        <f t="shared" si="29"/>
        <v>0.00728155339805825</v>
      </c>
      <c r="D506" s="2">
        <f t="shared" si="30"/>
        <v>0.00725517088117202</v>
      </c>
      <c r="E506" s="23">
        <v>0.02422</v>
      </c>
      <c r="F506" s="2">
        <f t="shared" si="28"/>
        <v>9.31538461538462e-5</v>
      </c>
      <c r="G506" s="2">
        <f t="shared" si="31"/>
        <v>0.00716201703501817</v>
      </c>
    </row>
    <row r="507" spans="1:7">
      <c r="A507" t="s">
        <v>322</v>
      </c>
      <c r="B507" s="22">
        <v>42000</v>
      </c>
      <c r="C507" s="2">
        <f t="shared" si="29"/>
        <v>0.0120481927710843</v>
      </c>
      <c r="D507" s="2">
        <f t="shared" si="30"/>
        <v>0.0119761910467156</v>
      </c>
      <c r="E507" s="23">
        <v>0.02397</v>
      </c>
      <c r="F507" s="2">
        <f t="shared" si="28"/>
        <v>9.21923076923077e-5</v>
      </c>
      <c r="G507" s="2">
        <f t="shared" si="31"/>
        <v>0.0118839987390233</v>
      </c>
    </row>
    <row r="508" spans="1:7">
      <c r="A508" t="s">
        <v>323</v>
      </c>
      <c r="B508" s="22">
        <v>41800</v>
      </c>
      <c r="C508" s="2">
        <f t="shared" si="29"/>
        <v>-0.00476190476190476</v>
      </c>
      <c r="D508" s="2">
        <f t="shared" si="30"/>
        <v>-0.00477327875265766</v>
      </c>
      <c r="E508" s="23">
        <v>0.02379</v>
      </c>
      <c r="F508" s="2">
        <f t="shared" si="28"/>
        <v>9.15e-5</v>
      </c>
      <c r="G508" s="2">
        <f t="shared" si="31"/>
        <v>-0.00486477875265766</v>
      </c>
    </row>
    <row r="509" spans="1:7">
      <c r="A509" t="s">
        <v>324</v>
      </c>
      <c r="B509" s="22">
        <v>42000</v>
      </c>
      <c r="C509" s="2">
        <f t="shared" si="29"/>
        <v>0.00478468899521531</v>
      </c>
      <c r="D509" s="2">
        <f t="shared" si="30"/>
        <v>0.00477327875265759</v>
      </c>
      <c r="E509" s="23">
        <v>0.02401</v>
      </c>
      <c r="F509" s="2">
        <f t="shared" si="28"/>
        <v>9.23461538461538e-5</v>
      </c>
      <c r="G509" s="2">
        <f t="shared" si="31"/>
        <v>0.00468093259881144</v>
      </c>
    </row>
    <row r="510" spans="1:7">
      <c r="A510" t="s">
        <v>325</v>
      </c>
      <c r="B510" s="22">
        <v>42100</v>
      </c>
      <c r="C510" s="2">
        <f t="shared" si="29"/>
        <v>0.00238095238095238</v>
      </c>
      <c r="D510" s="2">
        <f t="shared" si="30"/>
        <v>0.00237812240496742</v>
      </c>
      <c r="E510" s="23">
        <v>0.02369</v>
      </c>
      <c r="F510" s="2">
        <f t="shared" si="28"/>
        <v>9.11153846153846e-5</v>
      </c>
      <c r="G510" s="2">
        <f t="shared" si="31"/>
        <v>0.00228700702035203</v>
      </c>
    </row>
    <row r="511" spans="1:7">
      <c r="A511" t="s">
        <v>326</v>
      </c>
      <c r="B511" s="22">
        <v>42500</v>
      </c>
      <c r="C511" s="2">
        <f t="shared" si="29"/>
        <v>0.00950118764845606</v>
      </c>
      <c r="D511" s="2">
        <f t="shared" si="30"/>
        <v>0.00945633524203544</v>
      </c>
      <c r="E511" s="23">
        <v>0.02297</v>
      </c>
      <c r="F511" s="2">
        <f t="shared" si="28"/>
        <v>8.83461538461538e-5</v>
      </c>
      <c r="G511" s="2">
        <f t="shared" si="31"/>
        <v>0.00936798908818929</v>
      </c>
    </row>
    <row r="512" spans="1:7">
      <c r="A512" t="s">
        <v>327</v>
      </c>
      <c r="B512" s="22">
        <v>42350</v>
      </c>
      <c r="C512" s="2">
        <f t="shared" si="29"/>
        <v>-0.00352941176470588</v>
      </c>
      <c r="D512" s="2">
        <f t="shared" si="30"/>
        <v>-0.00353565483230776</v>
      </c>
      <c r="E512" s="23">
        <v>0.02313</v>
      </c>
      <c r="F512" s="2">
        <f t="shared" si="28"/>
        <v>8.89615384615385e-5</v>
      </c>
      <c r="G512" s="2">
        <f t="shared" si="31"/>
        <v>-0.00362461637076929</v>
      </c>
    </row>
    <row r="513" spans="1:7">
      <c r="A513" t="s">
        <v>328</v>
      </c>
      <c r="B513" s="22">
        <v>43000</v>
      </c>
      <c r="C513" s="2">
        <f t="shared" si="29"/>
        <v>0.0153482880755608</v>
      </c>
      <c r="D513" s="2">
        <f t="shared" si="30"/>
        <v>0.0152316945954991</v>
      </c>
      <c r="E513" s="23">
        <v>0.02358</v>
      </c>
      <c r="F513" s="2">
        <f t="shared" si="28"/>
        <v>9.06923076923077e-5</v>
      </c>
      <c r="G513" s="2">
        <f t="shared" si="31"/>
        <v>0.0151410022878068</v>
      </c>
    </row>
    <row r="514" spans="1:7">
      <c r="A514" t="s">
        <v>329</v>
      </c>
      <c r="B514" s="22">
        <v>43050</v>
      </c>
      <c r="C514" s="2">
        <f t="shared" si="29"/>
        <v>0.00116279069767442</v>
      </c>
      <c r="D514" s="2">
        <f t="shared" si="30"/>
        <v>0.0011621151801773</v>
      </c>
      <c r="E514" s="23">
        <v>0.02376</v>
      </c>
      <c r="F514" s="2">
        <f t="shared" si="28"/>
        <v>9.13846153846154e-5</v>
      </c>
      <c r="G514" s="2">
        <f t="shared" si="31"/>
        <v>0.00107073056479268</v>
      </c>
    </row>
    <row r="515" spans="1:7">
      <c r="A515" t="s">
        <v>330</v>
      </c>
      <c r="B515" s="22">
        <v>43200</v>
      </c>
      <c r="C515" s="2">
        <f t="shared" si="29"/>
        <v>0.00348432055749129</v>
      </c>
      <c r="D515" s="2">
        <f t="shared" si="30"/>
        <v>0.00347826437632479</v>
      </c>
      <c r="E515" s="23">
        <v>0.02351</v>
      </c>
      <c r="F515" s="2">
        <f t="shared" ref="F515:F578" si="32">E515/260</f>
        <v>9.04230769230769e-5</v>
      </c>
      <c r="G515" s="2">
        <f t="shared" si="31"/>
        <v>0.00338784129940172</v>
      </c>
    </row>
    <row r="516" spans="1:7">
      <c r="A516" t="s">
        <v>331</v>
      </c>
      <c r="B516" s="22">
        <v>41900</v>
      </c>
      <c r="C516" s="2">
        <f t="shared" ref="C516:C579" si="33">(B516-B515)/B515</f>
        <v>-0.0300925925925926</v>
      </c>
      <c r="D516" s="2">
        <f t="shared" ref="D516:D579" si="34">LN(B516/B515)</f>
        <v>-0.0305546683219725</v>
      </c>
      <c r="E516" s="23">
        <v>0.02358</v>
      </c>
      <c r="F516" s="2">
        <f t="shared" si="32"/>
        <v>9.06923076923077e-5</v>
      </c>
      <c r="G516" s="2">
        <f t="shared" ref="G516:G579" si="35">D516-F516</f>
        <v>-0.0306453606296649</v>
      </c>
    </row>
    <row r="517" spans="1:7">
      <c r="A517" t="s">
        <v>332</v>
      </c>
      <c r="B517" s="22">
        <v>42650</v>
      </c>
      <c r="C517" s="2">
        <f t="shared" si="33"/>
        <v>0.0178997613365155</v>
      </c>
      <c r="D517" s="2">
        <f t="shared" si="34"/>
        <v>0.0177414470095961</v>
      </c>
      <c r="E517" s="23">
        <v>0.02321</v>
      </c>
      <c r="F517" s="2">
        <f t="shared" si="32"/>
        <v>8.92692307692308e-5</v>
      </c>
      <c r="G517" s="2">
        <f t="shared" si="35"/>
        <v>0.0176521777788268</v>
      </c>
    </row>
    <row r="518" spans="1:7">
      <c r="A518" t="s">
        <v>333</v>
      </c>
      <c r="B518" s="22">
        <v>41600</v>
      </c>
      <c r="C518" s="2">
        <f t="shared" si="33"/>
        <v>-0.0246189917936694</v>
      </c>
      <c r="D518" s="2">
        <f t="shared" si="34"/>
        <v>-0.0249271066704706</v>
      </c>
      <c r="E518" s="23">
        <v>0.02323</v>
      </c>
      <c r="F518" s="2">
        <f t="shared" si="32"/>
        <v>8.93461538461538e-5</v>
      </c>
      <c r="G518" s="2">
        <f t="shared" si="35"/>
        <v>-0.0250164528243167</v>
      </c>
    </row>
    <row r="519" spans="1:7">
      <c r="A519" s="21">
        <v>45627</v>
      </c>
      <c r="B519" s="22">
        <v>41300</v>
      </c>
      <c r="C519" s="2">
        <f t="shared" si="33"/>
        <v>-0.00721153846153846</v>
      </c>
      <c r="D519" s="2">
        <f t="shared" si="34"/>
        <v>-0.0072376673002305</v>
      </c>
      <c r="E519" s="23">
        <v>0.02328</v>
      </c>
      <c r="F519" s="2">
        <f t="shared" si="32"/>
        <v>8.95384615384615e-5</v>
      </c>
      <c r="G519" s="2">
        <f t="shared" si="35"/>
        <v>-0.00732720576176896</v>
      </c>
    </row>
    <row r="520" spans="1:7">
      <c r="A520" s="21">
        <v>45597</v>
      </c>
      <c r="B520" s="22">
        <v>42000</v>
      </c>
      <c r="C520" s="2">
        <f t="shared" si="33"/>
        <v>0.0169491525423729</v>
      </c>
      <c r="D520" s="2">
        <f t="shared" si="34"/>
        <v>0.0168071183163812</v>
      </c>
      <c r="E520" s="23">
        <v>0.02321</v>
      </c>
      <c r="F520" s="2">
        <f t="shared" si="32"/>
        <v>8.92692307692308e-5</v>
      </c>
      <c r="G520" s="2">
        <f t="shared" si="35"/>
        <v>0.016717849085612</v>
      </c>
    </row>
    <row r="521" spans="1:7">
      <c r="A521" s="21">
        <v>45566</v>
      </c>
      <c r="B521" s="22">
        <v>42700</v>
      </c>
      <c r="C521" s="2">
        <f t="shared" si="33"/>
        <v>0.0166666666666667</v>
      </c>
      <c r="D521" s="2">
        <f t="shared" si="34"/>
        <v>0.0165293019512105</v>
      </c>
      <c r="E521" s="23">
        <v>0.02319</v>
      </c>
      <c r="F521" s="2">
        <f t="shared" si="32"/>
        <v>8.91923076923077e-5</v>
      </c>
      <c r="G521" s="2">
        <f t="shared" si="35"/>
        <v>0.0164401096435182</v>
      </c>
    </row>
    <row r="522" spans="1:7">
      <c r="A522" s="21">
        <v>45536</v>
      </c>
      <c r="B522" s="22">
        <v>43000</v>
      </c>
      <c r="C522" s="2">
        <f t="shared" si="33"/>
        <v>0.00702576112412178</v>
      </c>
      <c r="D522" s="2">
        <f t="shared" si="34"/>
        <v>0.00700119545898356</v>
      </c>
      <c r="E522" s="23">
        <v>0.02308</v>
      </c>
      <c r="F522" s="2">
        <f t="shared" si="32"/>
        <v>8.87692307692308e-5</v>
      </c>
      <c r="G522" s="2">
        <f t="shared" si="35"/>
        <v>0.00691242622821433</v>
      </c>
    </row>
    <row r="523" spans="1:7">
      <c r="A523" s="21">
        <v>45505</v>
      </c>
      <c r="B523" s="22">
        <v>43350</v>
      </c>
      <c r="C523" s="2">
        <f t="shared" si="33"/>
        <v>0.00813953488372093</v>
      </c>
      <c r="D523" s="2">
        <f t="shared" si="34"/>
        <v>0.00810658753298849</v>
      </c>
      <c r="E523" s="23">
        <v>0.02309</v>
      </c>
      <c r="F523" s="2">
        <f t="shared" si="32"/>
        <v>8.88076923076923e-5</v>
      </c>
      <c r="G523" s="2">
        <f t="shared" si="35"/>
        <v>0.0080177798406808</v>
      </c>
    </row>
    <row r="524" spans="1:7">
      <c r="A524" s="21">
        <v>45413</v>
      </c>
      <c r="B524" s="22">
        <v>43100</v>
      </c>
      <c r="C524" s="2">
        <f t="shared" si="33"/>
        <v>-0.00576701268742791</v>
      </c>
      <c r="D524" s="2">
        <f t="shared" si="34"/>
        <v>-0.00578370611684881</v>
      </c>
      <c r="E524" s="23">
        <v>0.02369</v>
      </c>
      <c r="F524" s="2">
        <f t="shared" si="32"/>
        <v>9.11153846153846e-5</v>
      </c>
      <c r="G524" s="2">
        <f t="shared" si="35"/>
        <v>-0.00587482150146419</v>
      </c>
    </row>
    <row r="525" spans="1:7">
      <c r="A525" s="21">
        <v>45383</v>
      </c>
      <c r="B525" s="22">
        <v>43450</v>
      </c>
      <c r="C525" s="2">
        <f t="shared" si="33"/>
        <v>0.00812064965197216</v>
      </c>
      <c r="D525" s="2">
        <f t="shared" si="34"/>
        <v>0.00808785460169891</v>
      </c>
      <c r="E525" s="23">
        <v>0.02385</v>
      </c>
      <c r="F525" s="2">
        <f t="shared" si="32"/>
        <v>9.17307692307692e-5</v>
      </c>
      <c r="G525" s="2">
        <f t="shared" si="35"/>
        <v>0.00799612383246814</v>
      </c>
    </row>
    <row r="526" spans="1:7">
      <c r="A526" s="21">
        <v>45352</v>
      </c>
      <c r="B526" s="22">
        <v>43400</v>
      </c>
      <c r="C526" s="2">
        <f t="shared" si="33"/>
        <v>-0.00115074798619102</v>
      </c>
      <c r="D526" s="2">
        <f t="shared" si="34"/>
        <v>-0.00115141060504181</v>
      </c>
      <c r="E526" s="23">
        <v>0.02428</v>
      </c>
      <c r="F526" s="2">
        <f t="shared" si="32"/>
        <v>9.33846153846154e-5</v>
      </c>
      <c r="G526" s="2">
        <f t="shared" si="35"/>
        <v>-0.00124479522042643</v>
      </c>
    </row>
    <row r="527" spans="1:7">
      <c r="A527" s="21">
        <v>45323</v>
      </c>
      <c r="B527" s="22">
        <v>43000</v>
      </c>
      <c r="C527" s="2">
        <f t="shared" si="33"/>
        <v>-0.00921658986175115</v>
      </c>
      <c r="D527" s="2">
        <f t="shared" si="34"/>
        <v>-0.00925932541279671</v>
      </c>
      <c r="E527" s="23">
        <v>0.02396</v>
      </c>
      <c r="F527" s="2">
        <f t="shared" si="32"/>
        <v>9.21538461538462e-5</v>
      </c>
      <c r="G527" s="2">
        <f t="shared" si="35"/>
        <v>-0.00935147925895056</v>
      </c>
    </row>
    <row r="528" spans="1:7">
      <c r="A528" t="s">
        <v>334</v>
      </c>
      <c r="B528" s="22">
        <v>43200</v>
      </c>
      <c r="C528" s="2">
        <f t="shared" si="33"/>
        <v>0.00465116279069767</v>
      </c>
      <c r="D528" s="2">
        <f t="shared" si="34"/>
        <v>0.0046403795565023</v>
      </c>
      <c r="E528" s="23">
        <v>0.02393</v>
      </c>
      <c r="F528" s="2">
        <f t="shared" si="32"/>
        <v>9.20384615384615e-5</v>
      </c>
      <c r="G528" s="2">
        <f t="shared" si="35"/>
        <v>0.00454834109496384</v>
      </c>
    </row>
    <row r="529" spans="1:7">
      <c r="A529" t="s">
        <v>335</v>
      </c>
      <c r="B529" s="22">
        <v>43700</v>
      </c>
      <c r="C529" s="2">
        <f t="shared" si="33"/>
        <v>0.0115740740740741</v>
      </c>
      <c r="D529" s="2">
        <f t="shared" si="34"/>
        <v>0.0115076068514799</v>
      </c>
      <c r="E529" s="23">
        <v>0.02369</v>
      </c>
      <c r="F529" s="2">
        <f t="shared" si="32"/>
        <v>9.11153846153846e-5</v>
      </c>
      <c r="G529" s="2">
        <f t="shared" si="35"/>
        <v>0.0114164914668646</v>
      </c>
    </row>
    <row r="530" spans="1:7">
      <c r="A530" t="s">
        <v>336</v>
      </c>
      <c r="B530" s="22">
        <v>41900</v>
      </c>
      <c r="C530" s="2">
        <f t="shared" si="33"/>
        <v>-0.0411899313501144</v>
      </c>
      <c r="D530" s="2">
        <f t="shared" si="34"/>
        <v>-0.0420622751734524</v>
      </c>
      <c r="E530" s="23">
        <v>0.0236</v>
      </c>
      <c r="F530" s="2">
        <f t="shared" si="32"/>
        <v>9.07692307692308e-5</v>
      </c>
      <c r="G530" s="2">
        <f t="shared" si="35"/>
        <v>-0.0421530444042216</v>
      </c>
    </row>
    <row r="531" spans="1:7">
      <c r="A531" t="s">
        <v>337</v>
      </c>
      <c r="B531" s="22">
        <v>41900</v>
      </c>
      <c r="C531" s="2">
        <f t="shared" si="33"/>
        <v>0</v>
      </c>
      <c r="D531" s="2">
        <f t="shared" si="34"/>
        <v>0</v>
      </c>
      <c r="E531" s="23">
        <v>0.02359</v>
      </c>
      <c r="F531" s="2">
        <f t="shared" si="32"/>
        <v>9.07307692307692e-5</v>
      </c>
      <c r="G531" s="2">
        <f t="shared" si="35"/>
        <v>-9.07307692307692e-5</v>
      </c>
    </row>
    <row r="532" spans="1:7">
      <c r="A532" t="s">
        <v>338</v>
      </c>
      <c r="B532" s="22">
        <v>41200</v>
      </c>
      <c r="C532" s="2">
        <f t="shared" si="33"/>
        <v>-0.0167064439140811</v>
      </c>
      <c r="D532" s="2">
        <f t="shared" si="34"/>
        <v>-0.0168475705726114</v>
      </c>
      <c r="E532" s="23">
        <v>0.02358</v>
      </c>
      <c r="F532" s="2">
        <f t="shared" si="32"/>
        <v>9.06923076923077e-5</v>
      </c>
      <c r="G532" s="2">
        <f t="shared" si="35"/>
        <v>-0.0169382628803037</v>
      </c>
    </row>
    <row r="533" spans="1:7">
      <c r="A533" t="s">
        <v>339</v>
      </c>
      <c r="B533" s="22">
        <v>40300</v>
      </c>
      <c r="C533" s="2">
        <f t="shared" si="33"/>
        <v>-0.0218446601941748</v>
      </c>
      <c r="D533" s="2">
        <f t="shared" si="34"/>
        <v>-0.0220867874028434</v>
      </c>
      <c r="E533" s="23">
        <v>0.02359</v>
      </c>
      <c r="F533" s="2">
        <f t="shared" si="32"/>
        <v>9.07307692307692e-5</v>
      </c>
      <c r="G533" s="2">
        <f t="shared" si="35"/>
        <v>-0.0221775181720742</v>
      </c>
    </row>
    <row r="534" spans="1:7">
      <c r="A534" t="s">
        <v>340</v>
      </c>
      <c r="B534" s="22">
        <v>40200</v>
      </c>
      <c r="C534" s="2">
        <f t="shared" si="33"/>
        <v>-0.00248138957816377</v>
      </c>
      <c r="D534" s="2">
        <f t="shared" si="34"/>
        <v>-0.00248447332766194</v>
      </c>
      <c r="E534" s="23">
        <v>0.02347</v>
      </c>
      <c r="F534" s="2">
        <f t="shared" si="32"/>
        <v>9.02692307692308e-5</v>
      </c>
      <c r="G534" s="2">
        <f t="shared" si="35"/>
        <v>-0.00257474255843118</v>
      </c>
    </row>
    <row r="535" spans="1:7">
      <c r="A535" t="s">
        <v>341</v>
      </c>
      <c r="B535" s="22">
        <v>39950</v>
      </c>
      <c r="C535" s="2">
        <f t="shared" si="33"/>
        <v>-0.00621890547263682</v>
      </c>
      <c r="D535" s="2">
        <f t="shared" si="34"/>
        <v>-0.0062383234126917</v>
      </c>
      <c r="E535" s="23">
        <v>0.02356</v>
      </c>
      <c r="F535" s="2">
        <f t="shared" si="32"/>
        <v>9.06153846153846e-5</v>
      </c>
      <c r="G535" s="2">
        <f t="shared" si="35"/>
        <v>-0.00632893879730709</v>
      </c>
    </row>
    <row r="536" spans="1:7">
      <c r="A536" t="s">
        <v>342</v>
      </c>
      <c r="B536" s="22">
        <v>39500</v>
      </c>
      <c r="C536" s="2">
        <f t="shared" si="33"/>
        <v>-0.0112640801001252</v>
      </c>
      <c r="D536" s="2">
        <f t="shared" si="34"/>
        <v>-0.0113280003052075</v>
      </c>
      <c r="E536" s="23">
        <v>0.02376</v>
      </c>
      <c r="F536" s="2">
        <f t="shared" si="32"/>
        <v>9.13846153846154e-5</v>
      </c>
      <c r="G536" s="2">
        <f t="shared" si="35"/>
        <v>-0.0114193849205921</v>
      </c>
    </row>
    <row r="537" spans="1:7">
      <c r="A537" t="s">
        <v>343</v>
      </c>
      <c r="B537" s="22">
        <v>39900</v>
      </c>
      <c r="C537" s="2">
        <f t="shared" si="33"/>
        <v>0.010126582278481</v>
      </c>
      <c r="D537" s="2">
        <f t="shared" si="34"/>
        <v>0.0100756519887416</v>
      </c>
      <c r="E537" s="23">
        <v>0.02385</v>
      </c>
      <c r="F537" s="2">
        <f t="shared" si="32"/>
        <v>9.17307692307692e-5</v>
      </c>
      <c r="G537" s="2">
        <f t="shared" si="35"/>
        <v>0.00998392121951087</v>
      </c>
    </row>
    <row r="538" spans="1:7">
      <c r="A538" t="s">
        <v>344</v>
      </c>
      <c r="B538" s="22">
        <v>39900</v>
      </c>
      <c r="C538" s="2">
        <f t="shared" si="33"/>
        <v>0</v>
      </c>
      <c r="D538" s="2">
        <f t="shared" si="34"/>
        <v>0</v>
      </c>
      <c r="E538" s="23">
        <v>0.02361</v>
      </c>
      <c r="F538" s="2">
        <f t="shared" si="32"/>
        <v>9.08076923076923e-5</v>
      </c>
      <c r="G538" s="2">
        <f t="shared" si="35"/>
        <v>-9.08076923076923e-5</v>
      </c>
    </row>
    <row r="539" spans="1:7">
      <c r="A539" t="s">
        <v>345</v>
      </c>
      <c r="B539" s="22">
        <v>40300</v>
      </c>
      <c r="C539" s="2">
        <f t="shared" si="33"/>
        <v>0.0100250626566416</v>
      </c>
      <c r="D539" s="2">
        <f t="shared" si="34"/>
        <v>0.00997514505681952</v>
      </c>
      <c r="E539" s="23">
        <v>0.02399</v>
      </c>
      <c r="F539" s="2">
        <f t="shared" si="32"/>
        <v>9.22692307692308e-5</v>
      </c>
      <c r="G539" s="2">
        <f t="shared" si="35"/>
        <v>0.00988287582605029</v>
      </c>
    </row>
    <row r="540" spans="1:7">
      <c r="A540" t="s">
        <v>346</v>
      </c>
      <c r="B540" s="22">
        <v>40750</v>
      </c>
      <c r="C540" s="2">
        <f t="shared" si="33"/>
        <v>0.011166253101737</v>
      </c>
      <c r="D540" s="2">
        <f t="shared" si="34"/>
        <v>0.0111043707342344</v>
      </c>
      <c r="E540" s="23">
        <v>0.02479</v>
      </c>
      <c r="F540" s="2">
        <f t="shared" si="32"/>
        <v>9.53461538461538e-5</v>
      </c>
      <c r="G540" s="2">
        <f t="shared" si="35"/>
        <v>0.0110090245803882</v>
      </c>
    </row>
    <row r="541" spans="1:7">
      <c r="A541" s="21">
        <v>45272</v>
      </c>
      <c r="B541" s="22">
        <v>41050</v>
      </c>
      <c r="C541" s="2">
        <f t="shared" si="33"/>
        <v>0.00736196319018405</v>
      </c>
      <c r="D541" s="2">
        <f t="shared" si="34"/>
        <v>0.00733499621156547</v>
      </c>
      <c r="E541" s="23">
        <v>0.02491</v>
      </c>
      <c r="F541" s="2">
        <f t="shared" si="32"/>
        <v>9.58076923076923e-5</v>
      </c>
      <c r="G541" s="2">
        <f t="shared" si="35"/>
        <v>0.00723918851925778</v>
      </c>
    </row>
    <row r="542" spans="1:7">
      <c r="A542" s="21">
        <v>45242</v>
      </c>
      <c r="B542" s="22">
        <v>41000</v>
      </c>
      <c r="C542" s="2">
        <f t="shared" si="33"/>
        <v>-0.00121802679658952</v>
      </c>
      <c r="D542" s="2">
        <f t="shared" si="34"/>
        <v>-0.00121876919412945</v>
      </c>
      <c r="E542" s="23">
        <v>0.02499</v>
      </c>
      <c r="F542" s="2">
        <f t="shared" si="32"/>
        <v>9.61153846153846e-5</v>
      </c>
      <c r="G542" s="2">
        <f t="shared" si="35"/>
        <v>-0.00131488457874484</v>
      </c>
    </row>
    <row r="543" spans="1:7">
      <c r="A543" s="21">
        <v>45150</v>
      </c>
      <c r="B543" s="22">
        <v>39650</v>
      </c>
      <c r="C543" s="2">
        <f t="shared" si="33"/>
        <v>-0.0329268292682927</v>
      </c>
      <c r="D543" s="2">
        <f t="shared" si="34"/>
        <v>-0.0334811186234508</v>
      </c>
      <c r="E543" s="23">
        <v>0.02492</v>
      </c>
      <c r="F543" s="2">
        <f t="shared" si="32"/>
        <v>9.58461538461539e-5</v>
      </c>
      <c r="G543" s="2">
        <f t="shared" si="35"/>
        <v>-0.033576964777297</v>
      </c>
    </row>
    <row r="544" spans="1:7">
      <c r="A544" s="21">
        <v>45119</v>
      </c>
      <c r="B544" s="22">
        <v>39700</v>
      </c>
      <c r="C544" s="2">
        <f t="shared" si="33"/>
        <v>0.00126103404791929</v>
      </c>
      <c r="D544" s="2">
        <f t="shared" si="34"/>
        <v>0.00126023961228777</v>
      </c>
      <c r="E544" s="23">
        <v>0.02495</v>
      </c>
      <c r="F544" s="2">
        <f t="shared" si="32"/>
        <v>9.59615384615385e-5</v>
      </c>
      <c r="G544" s="2">
        <f t="shared" si="35"/>
        <v>0.00116427807382623</v>
      </c>
    </row>
    <row r="545" spans="1:7">
      <c r="A545" s="21">
        <v>45089</v>
      </c>
      <c r="B545" s="22">
        <v>40450</v>
      </c>
      <c r="C545" s="2">
        <f t="shared" si="33"/>
        <v>0.0188916876574307</v>
      </c>
      <c r="D545" s="2">
        <f t="shared" si="34"/>
        <v>0.018715455811356</v>
      </c>
      <c r="E545" s="23">
        <v>0.02483</v>
      </c>
      <c r="F545" s="2">
        <f t="shared" si="32"/>
        <v>9.55e-5</v>
      </c>
      <c r="G545" s="2">
        <f t="shared" si="35"/>
        <v>0.018619955811356</v>
      </c>
    </row>
    <row r="546" spans="1:7">
      <c r="A546" s="21">
        <v>45058</v>
      </c>
      <c r="B546" s="22">
        <v>40500</v>
      </c>
      <c r="C546" s="2">
        <f t="shared" si="33"/>
        <v>0.00123609394313968</v>
      </c>
      <c r="D546" s="2">
        <f t="shared" si="34"/>
        <v>0.00123533060799281</v>
      </c>
      <c r="E546" s="23">
        <v>0.02493</v>
      </c>
      <c r="F546" s="2">
        <f t="shared" si="32"/>
        <v>9.58846153846154e-5</v>
      </c>
      <c r="G546" s="2">
        <f t="shared" si="35"/>
        <v>0.00113944599260819</v>
      </c>
    </row>
    <row r="547" spans="1:7">
      <c r="A547" s="21">
        <v>45028</v>
      </c>
      <c r="B547" s="22">
        <v>41300</v>
      </c>
      <c r="C547" s="2">
        <f t="shared" si="33"/>
        <v>0.0197530864197531</v>
      </c>
      <c r="D547" s="2">
        <f t="shared" si="34"/>
        <v>0.0195605258544936</v>
      </c>
      <c r="E547" s="23">
        <v>0.02482</v>
      </c>
      <c r="F547" s="2">
        <f t="shared" si="32"/>
        <v>9.54615384615385e-5</v>
      </c>
      <c r="G547" s="2">
        <f t="shared" si="35"/>
        <v>0.019465064316032</v>
      </c>
    </row>
    <row r="548" spans="1:7">
      <c r="A548" s="21">
        <v>44938</v>
      </c>
      <c r="B548" s="22">
        <v>40900</v>
      </c>
      <c r="C548" s="2">
        <f t="shared" si="33"/>
        <v>-0.00968523002421308</v>
      </c>
      <c r="D548" s="2">
        <f t="shared" si="34"/>
        <v>-0.009732436918231</v>
      </c>
      <c r="E548" s="23">
        <v>0.02486</v>
      </c>
      <c r="F548" s="2">
        <f t="shared" si="32"/>
        <v>9.56153846153846e-5</v>
      </c>
      <c r="G548" s="2">
        <f t="shared" si="35"/>
        <v>-0.00982805230284639</v>
      </c>
    </row>
    <row r="549" spans="1:7">
      <c r="A549" t="s">
        <v>347</v>
      </c>
      <c r="B549" s="22">
        <v>41300</v>
      </c>
      <c r="C549" s="2">
        <f t="shared" si="33"/>
        <v>0.0097799511002445</v>
      </c>
      <c r="D549" s="2">
        <f t="shared" si="34"/>
        <v>0.00973243691823105</v>
      </c>
      <c r="E549" s="23">
        <v>0.02486</v>
      </c>
      <c r="F549" s="2">
        <f t="shared" si="32"/>
        <v>9.56153846153846e-5</v>
      </c>
      <c r="G549" s="2">
        <f t="shared" si="35"/>
        <v>0.00963682153361567</v>
      </c>
    </row>
    <row r="550" spans="1:7">
      <c r="A550" t="s">
        <v>348</v>
      </c>
      <c r="B550" s="22">
        <v>41200</v>
      </c>
      <c r="C550" s="2">
        <f t="shared" si="33"/>
        <v>-0.00242130750605327</v>
      </c>
      <c r="D550" s="2">
        <f t="shared" si="34"/>
        <v>-0.00242424361150639</v>
      </c>
      <c r="E550" s="23">
        <v>0.02552</v>
      </c>
      <c r="F550" s="2">
        <f t="shared" si="32"/>
        <v>9.81538461538462e-5</v>
      </c>
      <c r="G550" s="2">
        <f t="shared" si="35"/>
        <v>-0.00252239745766024</v>
      </c>
    </row>
    <row r="551" spans="1:7">
      <c r="A551" t="s">
        <v>349</v>
      </c>
      <c r="B551" s="22">
        <v>40750</v>
      </c>
      <c r="C551" s="2">
        <f t="shared" si="33"/>
        <v>-0.0109223300970874</v>
      </c>
      <c r="D551" s="2">
        <f t="shared" si="34"/>
        <v>-0.010982416668609</v>
      </c>
      <c r="E551" s="23">
        <v>0.02582</v>
      </c>
      <c r="F551" s="2">
        <f t="shared" si="32"/>
        <v>9.93076923076923e-5</v>
      </c>
      <c r="G551" s="2">
        <f t="shared" si="35"/>
        <v>-0.0110817243609167</v>
      </c>
    </row>
    <row r="552" spans="1:7">
      <c r="A552" t="s">
        <v>350</v>
      </c>
      <c r="B552" s="22">
        <v>39800</v>
      </c>
      <c r="C552" s="2">
        <f t="shared" si="33"/>
        <v>-0.0233128834355828</v>
      </c>
      <c r="D552" s="2">
        <f t="shared" si="34"/>
        <v>-0.0235889273964797</v>
      </c>
      <c r="E552" s="23">
        <v>0.02582</v>
      </c>
      <c r="F552" s="2">
        <f t="shared" si="32"/>
        <v>9.93076923076923e-5</v>
      </c>
      <c r="G552" s="2">
        <f t="shared" si="35"/>
        <v>-0.0236882350887874</v>
      </c>
    </row>
    <row r="553" spans="1:7">
      <c r="A553" t="s">
        <v>351</v>
      </c>
      <c r="B553" s="22">
        <v>39100</v>
      </c>
      <c r="C553" s="2">
        <f t="shared" si="33"/>
        <v>-0.0175879396984925</v>
      </c>
      <c r="D553" s="2">
        <f t="shared" si="34"/>
        <v>-0.017744445299072</v>
      </c>
      <c r="E553" s="23">
        <v>0.02577</v>
      </c>
      <c r="F553" s="2">
        <f t="shared" si="32"/>
        <v>9.91153846153846e-5</v>
      </c>
      <c r="G553" s="2">
        <f t="shared" si="35"/>
        <v>-0.0178435606836873</v>
      </c>
    </row>
    <row r="554" spans="1:7">
      <c r="A554" t="s">
        <v>352</v>
      </c>
      <c r="B554" s="22">
        <v>39000</v>
      </c>
      <c r="C554" s="2">
        <f t="shared" si="33"/>
        <v>-0.00255754475703325</v>
      </c>
      <c r="D554" s="2">
        <f t="shared" si="34"/>
        <v>-0.0025608208616737</v>
      </c>
      <c r="E554" s="23">
        <v>0.02536</v>
      </c>
      <c r="F554" s="2">
        <f t="shared" si="32"/>
        <v>9.75384615384615e-5</v>
      </c>
      <c r="G554" s="2">
        <f t="shared" si="35"/>
        <v>-0.00265835932321217</v>
      </c>
    </row>
    <row r="555" spans="1:7">
      <c r="A555" t="s">
        <v>353</v>
      </c>
      <c r="B555" s="22">
        <v>39000</v>
      </c>
      <c r="C555" s="2">
        <f t="shared" si="33"/>
        <v>0</v>
      </c>
      <c r="D555" s="2">
        <f t="shared" si="34"/>
        <v>0</v>
      </c>
      <c r="E555" s="23">
        <v>0.02673</v>
      </c>
      <c r="F555" s="2">
        <f t="shared" si="32"/>
        <v>0.000102807692307692</v>
      </c>
      <c r="G555" s="2">
        <f t="shared" si="35"/>
        <v>-0.000102807692307692</v>
      </c>
    </row>
    <row r="556" spans="1:7">
      <c r="A556" t="s">
        <v>354</v>
      </c>
      <c r="B556" s="22">
        <v>39100</v>
      </c>
      <c r="C556" s="2">
        <f t="shared" si="33"/>
        <v>0.00256410256410256</v>
      </c>
      <c r="D556" s="2">
        <f t="shared" si="34"/>
        <v>0.00256082086167365</v>
      </c>
      <c r="E556" s="23">
        <v>0.02672</v>
      </c>
      <c r="F556" s="2">
        <f t="shared" si="32"/>
        <v>0.000102769230769231</v>
      </c>
      <c r="G556" s="2">
        <f t="shared" si="35"/>
        <v>0.00245805163090442</v>
      </c>
    </row>
    <row r="557" spans="1:7">
      <c r="A557" t="s">
        <v>355</v>
      </c>
      <c r="B557" s="22">
        <v>38950</v>
      </c>
      <c r="C557" s="2">
        <f t="shared" si="33"/>
        <v>-0.00383631713554987</v>
      </c>
      <c r="D557" s="2">
        <f t="shared" si="34"/>
        <v>-0.00384369467456283</v>
      </c>
      <c r="E557" s="23">
        <v>0.02674</v>
      </c>
      <c r="F557" s="2">
        <f t="shared" si="32"/>
        <v>0.000102846153846154</v>
      </c>
      <c r="G557" s="2">
        <f t="shared" si="35"/>
        <v>-0.00394654082840898</v>
      </c>
    </row>
    <row r="558" spans="1:7">
      <c r="A558" t="s">
        <v>356</v>
      </c>
      <c r="B558" s="22">
        <v>38950</v>
      </c>
      <c r="C558" s="2">
        <f t="shared" si="33"/>
        <v>0</v>
      </c>
      <c r="D558" s="2">
        <f t="shared" si="34"/>
        <v>0</v>
      </c>
      <c r="E558" s="23">
        <v>0.02707</v>
      </c>
      <c r="F558" s="2">
        <f t="shared" si="32"/>
        <v>0.000104115384615385</v>
      </c>
      <c r="G558" s="2">
        <f t="shared" si="35"/>
        <v>-0.000104115384615385</v>
      </c>
    </row>
    <row r="559" spans="1:7">
      <c r="A559" t="s">
        <v>357</v>
      </c>
      <c r="B559" s="22">
        <v>41150</v>
      </c>
      <c r="C559" s="2">
        <f t="shared" si="33"/>
        <v>0.0564826700898588</v>
      </c>
      <c r="D559" s="2">
        <f t="shared" si="34"/>
        <v>0.0549451548063216</v>
      </c>
      <c r="E559" s="23">
        <v>0.02727</v>
      </c>
      <c r="F559" s="2">
        <f t="shared" si="32"/>
        <v>0.000104884615384615</v>
      </c>
      <c r="G559" s="2">
        <f t="shared" si="35"/>
        <v>0.054840270190937</v>
      </c>
    </row>
    <row r="560" spans="1:7">
      <c r="A560" t="s">
        <v>358</v>
      </c>
      <c r="B560" s="22">
        <v>41450</v>
      </c>
      <c r="C560" s="2">
        <f t="shared" si="33"/>
        <v>0.00729040097205346</v>
      </c>
      <c r="D560" s="2">
        <f t="shared" si="34"/>
        <v>0.00726395445822506</v>
      </c>
      <c r="E560" s="23">
        <v>0.02764</v>
      </c>
      <c r="F560" s="2">
        <f t="shared" si="32"/>
        <v>0.000106307692307692</v>
      </c>
      <c r="G560" s="2">
        <f t="shared" si="35"/>
        <v>0.00715764676591737</v>
      </c>
    </row>
    <row r="561" spans="1:7">
      <c r="A561" t="s">
        <v>359</v>
      </c>
      <c r="B561" s="22">
        <v>41000</v>
      </c>
      <c r="C561" s="2">
        <f t="shared" si="33"/>
        <v>-0.0108564535585042</v>
      </c>
      <c r="D561" s="2">
        <f t="shared" si="34"/>
        <v>-0.0109158148769961</v>
      </c>
      <c r="E561" s="23">
        <v>0.028</v>
      </c>
      <c r="F561" s="2">
        <f t="shared" si="32"/>
        <v>0.000107692307692308</v>
      </c>
      <c r="G561" s="2">
        <f t="shared" si="35"/>
        <v>-0.0110235071846884</v>
      </c>
    </row>
    <row r="562" spans="1:7">
      <c r="A562" t="s">
        <v>360</v>
      </c>
      <c r="B562" s="22">
        <v>41350</v>
      </c>
      <c r="C562" s="2">
        <f t="shared" si="33"/>
        <v>0.00853658536585366</v>
      </c>
      <c r="D562" s="2">
        <f t="shared" si="34"/>
        <v>0.00850035476539253</v>
      </c>
      <c r="E562" s="23">
        <v>0.02806</v>
      </c>
      <c r="F562" s="2">
        <f t="shared" si="32"/>
        <v>0.000107923076923077</v>
      </c>
      <c r="G562" s="2">
        <f t="shared" si="35"/>
        <v>0.00839243168846945</v>
      </c>
    </row>
    <row r="563" spans="1:7">
      <c r="A563" s="21">
        <v>45210</v>
      </c>
      <c r="B563" s="22">
        <v>42300</v>
      </c>
      <c r="C563" s="2">
        <f t="shared" si="33"/>
        <v>0.0229746070133011</v>
      </c>
      <c r="D563" s="2">
        <f t="shared" si="34"/>
        <v>0.0227146645825319</v>
      </c>
      <c r="E563" s="23">
        <v>0.02828</v>
      </c>
      <c r="F563" s="2">
        <f t="shared" si="32"/>
        <v>0.000108769230769231</v>
      </c>
      <c r="G563" s="2">
        <f t="shared" si="35"/>
        <v>0.0226058953517627</v>
      </c>
    </row>
    <row r="564" spans="1:7">
      <c r="A564" s="21">
        <v>45180</v>
      </c>
      <c r="B564" s="22">
        <v>42900</v>
      </c>
      <c r="C564" s="2">
        <f t="shared" si="33"/>
        <v>0.0141843971631206</v>
      </c>
      <c r="D564" s="2">
        <f t="shared" si="34"/>
        <v>0.014084739881739</v>
      </c>
      <c r="E564" s="23">
        <v>0.02845</v>
      </c>
      <c r="F564" s="2">
        <f t="shared" si="32"/>
        <v>0.000109423076923077</v>
      </c>
      <c r="G564" s="2">
        <f t="shared" si="35"/>
        <v>0.0139753168048159</v>
      </c>
    </row>
    <row r="565" spans="1:7">
      <c r="A565" s="21">
        <v>45149</v>
      </c>
      <c r="B565" s="22">
        <v>41000</v>
      </c>
      <c r="C565" s="2">
        <f t="shared" si="33"/>
        <v>-0.0442890442890443</v>
      </c>
      <c r="D565" s="2">
        <f t="shared" si="34"/>
        <v>-0.0452997592296635</v>
      </c>
      <c r="E565" s="23">
        <v>0.02839</v>
      </c>
      <c r="F565" s="2">
        <f t="shared" si="32"/>
        <v>0.000109192307692308</v>
      </c>
      <c r="G565" s="2">
        <f t="shared" si="35"/>
        <v>-0.0454089515373559</v>
      </c>
    </row>
    <row r="566" spans="1:7">
      <c r="A566" s="21">
        <v>45118</v>
      </c>
      <c r="B566" s="22">
        <v>40000</v>
      </c>
      <c r="C566" s="2">
        <f t="shared" si="33"/>
        <v>-0.024390243902439</v>
      </c>
      <c r="D566" s="2">
        <f t="shared" si="34"/>
        <v>-0.0246926125903715</v>
      </c>
      <c r="E566" s="23">
        <v>0.02906</v>
      </c>
      <c r="F566" s="2">
        <f t="shared" si="32"/>
        <v>0.000111769230769231</v>
      </c>
      <c r="G566" s="2">
        <f t="shared" si="35"/>
        <v>-0.0248043818211408</v>
      </c>
    </row>
    <row r="567" spans="1:7">
      <c r="A567" s="21">
        <v>45088</v>
      </c>
      <c r="B567" s="22">
        <v>41000</v>
      </c>
      <c r="C567" s="2">
        <f t="shared" si="33"/>
        <v>0.025</v>
      </c>
      <c r="D567" s="2">
        <f t="shared" si="34"/>
        <v>0.0246926125903714</v>
      </c>
      <c r="E567" s="23">
        <v>0.0295</v>
      </c>
      <c r="F567" s="2">
        <f t="shared" si="32"/>
        <v>0.000113461538461538</v>
      </c>
      <c r="G567" s="2">
        <f t="shared" si="35"/>
        <v>0.0245791510519099</v>
      </c>
    </row>
    <row r="568" spans="1:7">
      <c r="A568" s="21">
        <v>44996</v>
      </c>
      <c r="B568" s="22">
        <v>40500</v>
      </c>
      <c r="C568" s="2">
        <f t="shared" si="33"/>
        <v>-0.0121951219512195</v>
      </c>
      <c r="D568" s="2">
        <f t="shared" si="34"/>
        <v>-0.0122700925918144</v>
      </c>
      <c r="E568" s="23">
        <v>0.02991</v>
      </c>
      <c r="F568" s="2">
        <f t="shared" si="32"/>
        <v>0.000115038461538462</v>
      </c>
      <c r="G568" s="2">
        <f t="shared" si="35"/>
        <v>-0.0123851310533528</v>
      </c>
    </row>
    <row r="569" spans="1:7">
      <c r="A569" s="21">
        <v>44968</v>
      </c>
      <c r="B569" s="22">
        <v>39950</v>
      </c>
      <c r="C569" s="2">
        <f t="shared" si="33"/>
        <v>-0.0135802469135802</v>
      </c>
      <c r="D569" s="2">
        <f t="shared" si="34"/>
        <v>-0.0136733019002098</v>
      </c>
      <c r="E569" s="23">
        <v>0.03015</v>
      </c>
      <c r="F569" s="2">
        <f t="shared" si="32"/>
        <v>0.000115961538461538</v>
      </c>
      <c r="G569" s="2">
        <f t="shared" si="35"/>
        <v>-0.0137892634386714</v>
      </c>
    </row>
    <row r="570" spans="1:7">
      <c r="A570" s="21">
        <v>44937</v>
      </c>
      <c r="B570" s="22">
        <v>38450</v>
      </c>
      <c r="C570" s="2">
        <f t="shared" si="33"/>
        <v>-0.0375469336670839</v>
      </c>
      <c r="D570" s="2">
        <f t="shared" si="34"/>
        <v>-0.0382699762606307</v>
      </c>
      <c r="E570" s="23">
        <v>0.03028</v>
      </c>
      <c r="F570" s="2">
        <f t="shared" si="32"/>
        <v>0.000116461538461538</v>
      </c>
      <c r="G570" s="2">
        <f t="shared" si="35"/>
        <v>-0.0383864377990922</v>
      </c>
    </row>
    <row r="571" spans="1:7">
      <c r="A571" t="s">
        <v>361</v>
      </c>
      <c r="B571" s="22">
        <v>39000</v>
      </c>
      <c r="C571" s="2">
        <f t="shared" si="33"/>
        <v>0.0143042912873862</v>
      </c>
      <c r="D571" s="2">
        <f t="shared" si="34"/>
        <v>0.0142029501779935</v>
      </c>
      <c r="E571" s="23">
        <v>0.03067</v>
      </c>
      <c r="F571" s="2">
        <f t="shared" si="32"/>
        <v>0.000117961538461538</v>
      </c>
      <c r="G571" s="2">
        <f t="shared" si="35"/>
        <v>0.014084988639532</v>
      </c>
    </row>
    <row r="572" spans="1:7">
      <c r="A572" t="s">
        <v>362</v>
      </c>
      <c r="B572" s="22">
        <v>39200</v>
      </c>
      <c r="C572" s="2">
        <f t="shared" si="33"/>
        <v>0.00512820512820513</v>
      </c>
      <c r="D572" s="2">
        <f t="shared" si="34"/>
        <v>0.00511510066677041</v>
      </c>
      <c r="E572" s="23">
        <v>0.03067</v>
      </c>
      <c r="F572" s="2">
        <f t="shared" si="32"/>
        <v>0.000117961538461538</v>
      </c>
      <c r="G572" s="2">
        <f t="shared" si="35"/>
        <v>0.00499713912830887</v>
      </c>
    </row>
    <row r="573" spans="1:7">
      <c r="A573" t="s">
        <v>363</v>
      </c>
      <c r="B573" s="22">
        <v>39200</v>
      </c>
      <c r="C573" s="2">
        <f t="shared" si="33"/>
        <v>0</v>
      </c>
      <c r="D573" s="2">
        <f t="shared" si="34"/>
        <v>0</v>
      </c>
      <c r="E573" s="23">
        <v>0.03082</v>
      </c>
      <c r="F573" s="2">
        <f t="shared" si="32"/>
        <v>0.000118538461538462</v>
      </c>
      <c r="G573" s="2">
        <f t="shared" si="35"/>
        <v>-0.000118538461538462</v>
      </c>
    </row>
    <row r="574" spans="1:7">
      <c r="A574" t="s">
        <v>364</v>
      </c>
      <c r="B574" s="22">
        <v>41800</v>
      </c>
      <c r="C574" s="2">
        <f t="shared" si="33"/>
        <v>0.0663265306122449</v>
      </c>
      <c r="D574" s="2">
        <f t="shared" si="34"/>
        <v>0.0642195927342938</v>
      </c>
      <c r="E574" s="23">
        <v>0.03105</v>
      </c>
      <c r="F574" s="2">
        <f t="shared" si="32"/>
        <v>0.000119423076923077</v>
      </c>
      <c r="G574" s="2">
        <f t="shared" si="35"/>
        <v>0.0641001696573707</v>
      </c>
    </row>
    <row r="575" spans="1:7">
      <c r="A575" t="s">
        <v>365</v>
      </c>
      <c r="B575" s="22">
        <v>44900</v>
      </c>
      <c r="C575" s="2">
        <f t="shared" si="33"/>
        <v>0.0741626794258373</v>
      </c>
      <c r="D575" s="2">
        <f t="shared" si="34"/>
        <v>0.0715414552174981</v>
      </c>
      <c r="E575" s="23">
        <v>0.03117</v>
      </c>
      <c r="F575" s="2">
        <f t="shared" si="32"/>
        <v>0.000119884615384615</v>
      </c>
      <c r="G575" s="2">
        <f t="shared" si="35"/>
        <v>0.0714215706021135</v>
      </c>
    </row>
    <row r="576" spans="1:7">
      <c r="A576" t="s">
        <v>366</v>
      </c>
      <c r="B576" s="22">
        <v>44600</v>
      </c>
      <c r="C576" s="2">
        <f t="shared" si="33"/>
        <v>-0.0066815144766147</v>
      </c>
      <c r="D576" s="2">
        <f t="shared" si="34"/>
        <v>-0.00670393572219022</v>
      </c>
      <c r="E576" s="23">
        <v>0.03218</v>
      </c>
      <c r="F576" s="2">
        <f t="shared" si="32"/>
        <v>0.000123769230769231</v>
      </c>
      <c r="G576" s="2">
        <f t="shared" si="35"/>
        <v>-0.00682770495295945</v>
      </c>
    </row>
    <row r="577" spans="1:7">
      <c r="A577" t="s">
        <v>367</v>
      </c>
      <c r="B577" s="22">
        <v>44500</v>
      </c>
      <c r="C577" s="2">
        <f t="shared" si="33"/>
        <v>-0.00224215246636771</v>
      </c>
      <c r="D577" s="2">
        <f t="shared" si="34"/>
        <v>-0.00224466985382386</v>
      </c>
      <c r="E577" s="23">
        <v>0.03247</v>
      </c>
      <c r="F577" s="2">
        <f t="shared" si="32"/>
        <v>0.000124884615384615</v>
      </c>
      <c r="G577" s="2">
        <f t="shared" si="35"/>
        <v>-0.00236955446920848</v>
      </c>
    </row>
    <row r="578" spans="1:7">
      <c r="A578" t="s">
        <v>368</v>
      </c>
      <c r="B578" s="22">
        <v>44500</v>
      </c>
      <c r="C578" s="2">
        <f t="shared" si="33"/>
        <v>0</v>
      </c>
      <c r="D578" s="2">
        <f t="shared" si="34"/>
        <v>0</v>
      </c>
      <c r="E578" s="23">
        <v>0.03253</v>
      </c>
      <c r="F578" s="2">
        <f t="shared" si="32"/>
        <v>0.000125115384615385</v>
      </c>
      <c r="G578" s="2">
        <f t="shared" si="35"/>
        <v>-0.000125115384615385</v>
      </c>
    </row>
    <row r="579" spans="1:7">
      <c r="A579" t="s">
        <v>369</v>
      </c>
      <c r="B579" s="22">
        <v>42500</v>
      </c>
      <c r="C579" s="2">
        <f t="shared" si="33"/>
        <v>-0.0449438202247191</v>
      </c>
      <c r="D579" s="2">
        <f t="shared" si="34"/>
        <v>-0.0459851132418234</v>
      </c>
      <c r="E579" s="23">
        <v>0.03188</v>
      </c>
      <c r="F579" s="2">
        <f t="shared" ref="F579:F642" si="36">E579/260</f>
        <v>0.000122615384615385</v>
      </c>
      <c r="G579" s="2">
        <f t="shared" si="35"/>
        <v>-0.0461077286264388</v>
      </c>
    </row>
    <row r="580" spans="1:7">
      <c r="A580" t="s">
        <v>370</v>
      </c>
      <c r="B580" s="22">
        <v>43300</v>
      </c>
      <c r="C580" s="2">
        <f t="shared" ref="C580:C643" si="37">(B580-B579)/B579</f>
        <v>0.0188235294117647</v>
      </c>
      <c r="D580" s="2">
        <f t="shared" ref="D580:D643" si="38">LN(B580/B579)</f>
        <v>0.018648559078073</v>
      </c>
      <c r="E580" s="23">
        <v>0.03058</v>
      </c>
      <c r="F580" s="2">
        <f t="shared" si="36"/>
        <v>0.000117615384615385</v>
      </c>
      <c r="G580" s="2">
        <f t="shared" ref="G580:G643" si="39">D580-F580</f>
        <v>0.0185309436934576</v>
      </c>
    </row>
    <row r="581" spans="1:7">
      <c r="A581" t="s">
        <v>371</v>
      </c>
      <c r="B581" s="22">
        <v>44500</v>
      </c>
      <c r="C581" s="2">
        <f t="shared" si="37"/>
        <v>0.0277136258660508</v>
      </c>
      <c r="D581" s="2">
        <f t="shared" si="38"/>
        <v>0.0273365541637504</v>
      </c>
      <c r="E581" s="23">
        <v>0.03046</v>
      </c>
      <c r="F581" s="2">
        <f t="shared" si="36"/>
        <v>0.000117153846153846</v>
      </c>
      <c r="G581" s="2">
        <f t="shared" si="39"/>
        <v>0.0272194003175966</v>
      </c>
    </row>
    <row r="582" spans="1:7">
      <c r="A582" t="s">
        <v>372</v>
      </c>
      <c r="B582" s="22">
        <v>45550</v>
      </c>
      <c r="C582" s="2">
        <f t="shared" si="37"/>
        <v>0.0235955056179775</v>
      </c>
      <c r="D582" s="2">
        <f t="shared" si="38"/>
        <v>0.0233214345337728</v>
      </c>
      <c r="E582" s="23">
        <v>0.03034</v>
      </c>
      <c r="F582" s="2">
        <f t="shared" si="36"/>
        <v>0.000116692307692308</v>
      </c>
      <c r="G582" s="2">
        <f t="shared" si="39"/>
        <v>0.0232047422260805</v>
      </c>
    </row>
    <row r="583" spans="1:7">
      <c r="A583" t="s">
        <v>373</v>
      </c>
      <c r="B583" s="22">
        <v>46900</v>
      </c>
      <c r="C583" s="2">
        <f t="shared" si="37"/>
        <v>0.0296377607025247</v>
      </c>
      <c r="D583" s="2">
        <f t="shared" si="38"/>
        <v>0.0292070517462663</v>
      </c>
      <c r="E583" s="23">
        <v>0.03027</v>
      </c>
      <c r="F583" s="2">
        <f t="shared" si="36"/>
        <v>0.000116423076923077</v>
      </c>
      <c r="G583" s="2">
        <f t="shared" si="39"/>
        <v>0.0290906286693432</v>
      </c>
    </row>
    <row r="584" spans="1:7">
      <c r="A584" s="21">
        <v>45270</v>
      </c>
      <c r="B584" s="22">
        <v>47550</v>
      </c>
      <c r="C584" s="2">
        <f t="shared" si="37"/>
        <v>0.0138592750533049</v>
      </c>
      <c r="D584" s="2">
        <f t="shared" si="38"/>
        <v>0.0137641135391656</v>
      </c>
      <c r="E584" s="23">
        <v>0.02995</v>
      </c>
      <c r="F584" s="2">
        <f t="shared" si="36"/>
        <v>0.000115192307692308</v>
      </c>
      <c r="G584" s="2">
        <f t="shared" si="39"/>
        <v>0.0136489212314733</v>
      </c>
    </row>
    <row r="585" spans="1:7">
      <c r="A585" s="21">
        <v>45240</v>
      </c>
      <c r="B585" s="22">
        <v>47400</v>
      </c>
      <c r="C585" s="2">
        <f t="shared" si="37"/>
        <v>-0.00315457413249211</v>
      </c>
      <c r="D585" s="2">
        <f t="shared" si="38"/>
        <v>-0.00315956029036848</v>
      </c>
      <c r="E585" s="23">
        <v>0.03023</v>
      </c>
      <c r="F585" s="2">
        <f t="shared" si="36"/>
        <v>0.000116269230769231</v>
      </c>
      <c r="G585" s="2">
        <f t="shared" si="39"/>
        <v>-0.00327582952113771</v>
      </c>
    </row>
    <row r="586" spans="1:7">
      <c r="A586" s="21">
        <v>45209</v>
      </c>
      <c r="B586" s="22">
        <v>48000</v>
      </c>
      <c r="C586" s="2">
        <f t="shared" si="37"/>
        <v>0.0126582278481013</v>
      </c>
      <c r="D586" s="2">
        <f t="shared" si="38"/>
        <v>0.0125787822068602</v>
      </c>
      <c r="E586" s="23">
        <v>0.03033</v>
      </c>
      <c r="F586" s="2">
        <f t="shared" si="36"/>
        <v>0.000116653846153846</v>
      </c>
      <c r="G586" s="2">
        <f t="shared" si="39"/>
        <v>0.0124621283607063</v>
      </c>
    </row>
    <row r="587" spans="1:7">
      <c r="A587" s="21">
        <v>45179</v>
      </c>
      <c r="B587" s="22">
        <v>47000</v>
      </c>
      <c r="C587" s="2">
        <f t="shared" si="37"/>
        <v>-0.0208333333333333</v>
      </c>
      <c r="D587" s="2">
        <f t="shared" si="38"/>
        <v>-0.0210534091978324</v>
      </c>
      <c r="E587" s="23">
        <v>0.03041</v>
      </c>
      <c r="F587" s="2">
        <f t="shared" si="36"/>
        <v>0.000116961538461538</v>
      </c>
      <c r="G587" s="2">
        <f t="shared" si="39"/>
        <v>-0.0211703707362939</v>
      </c>
    </row>
    <row r="588" spans="1:7">
      <c r="A588" s="21">
        <v>45087</v>
      </c>
      <c r="B588" s="22">
        <v>46050</v>
      </c>
      <c r="C588" s="2">
        <f t="shared" si="37"/>
        <v>-0.0202127659574468</v>
      </c>
      <c r="D588" s="2">
        <f t="shared" si="38"/>
        <v>-0.0204198390087427</v>
      </c>
      <c r="E588" s="23">
        <v>0.03036</v>
      </c>
      <c r="F588" s="2">
        <f t="shared" si="36"/>
        <v>0.000116769230769231</v>
      </c>
      <c r="G588" s="2">
        <f t="shared" si="39"/>
        <v>-0.020536608239512</v>
      </c>
    </row>
    <row r="589" spans="1:7">
      <c r="A589" s="21">
        <v>45056</v>
      </c>
      <c r="B589" s="22">
        <v>44550</v>
      </c>
      <c r="C589" s="2">
        <f t="shared" si="37"/>
        <v>-0.0325732899022801</v>
      </c>
      <c r="D589" s="2">
        <f t="shared" si="38"/>
        <v>-0.0331156087844975</v>
      </c>
      <c r="E589" s="23">
        <v>0.03049</v>
      </c>
      <c r="F589" s="2">
        <f t="shared" si="36"/>
        <v>0.000117269230769231</v>
      </c>
      <c r="G589" s="2">
        <f t="shared" si="39"/>
        <v>-0.0332328780152668</v>
      </c>
    </row>
    <row r="590" spans="1:7">
      <c r="A590" s="21">
        <v>45026</v>
      </c>
      <c r="B590" s="22">
        <v>44600</v>
      </c>
      <c r="C590" s="2">
        <f t="shared" si="37"/>
        <v>0.00112233445566779</v>
      </c>
      <c r="D590" s="2">
        <f t="shared" si="38"/>
        <v>0.00112170510920017</v>
      </c>
      <c r="E590" s="23">
        <v>0.03028</v>
      </c>
      <c r="F590" s="2">
        <f t="shared" si="36"/>
        <v>0.000116461538461538</v>
      </c>
      <c r="G590" s="2">
        <f t="shared" si="39"/>
        <v>0.00100524357073864</v>
      </c>
    </row>
    <row r="591" spans="1:7">
      <c r="A591" s="21">
        <v>44995</v>
      </c>
      <c r="B591" s="22">
        <v>44050</v>
      </c>
      <c r="C591" s="2">
        <f t="shared" si="37"/>
        <v>-0.0123318385650224</v>
      </c>
      <c r="D591" s="2">
        <f t="shared" si="38"/>
        <v>-0.0124085066438298</v>
      </c>
      <c r="E591" s="23">
        <v>0.02966</v>
      </c>
      <c r="F591" s="2">
        <f t="shared" si="36"/>
        <v>0.000114076923076923</v>
      </c>
      <c r="G591" s="2">
        <f t="shared" si="39"/>
        <v>-0.0125225835669068</v>
      </c>
    </row>
    <row r="592" spans="1:7">
      <c r="A592" s="21">
        <v>44967</v>
      </c>
      <c r="B592" s="22">
        <v>45750</v>
      </c>
      <c r="C592" s="2">
        <f t="shared" si="37"/>
        <v>0.0385925085130533</v>
      </c>
      <c r="D592" s="2">
        <f t="shared" si="38"/>
        <v>0.0378664393393419</v>
      </c>
      <c r="E592" s="23">
        <v>0.02858</v>
      </c>
      <c r="F592" s="2">
        <f t="shared" si="36"/>
        <v>0.000109923076923077</v>
      </c>
      <c r="G592" s="2">
        <f t="shared" si="39"/>
        <v>0.0377565162624188</v>
      </c>
    </row>
    <row r="593" spans="1:7">
      <c r="A593" t="s">
        <v>374</v>
      </c>
      <c r="B593" s="22">
        <v>45500</v>
      </c>
      <c r="C593" s="2">
        <f t="shared" si="37"/>
        <v>-0.00546448087431694</v>
      </c>
      <c r="D593" s="2">
        <f t="shared" si="38"/>
        <v>-0.0054794657646256</v>
      </c>
      <c r="E593" s="23">
        <v>0.02838</v>
      </c>
      <c r="F593" s="2">
        <f t="shared" si="36"/>
        <v>0.000109153846153846</v>
      </c>
      <c r="G593" s="2">
        <f t="shared" si="39"/>
        <v>-0.00558861961077944</v>
      </c>
    </row>
    <row r="594" spans="1:7">
      <c r="A594" t="s">
        <v>375</v>
      </c>
      <c r="B594" s="22">
        <v>44500</v>
      </c>
      <c r="C594" s="2">
        <f t="shared" si="37"/>
        <v>-0.021978021978022</v>
      </c>
      <c r="D594" s="2">
        <f t="shared" si="38"/>
        <v>-0.0222231367847102</v>
      </c>
      <c r="E594" s="23">
        <v>0.02798</v>
      </c>
      <c r="F594" s="2">
        <f t="shared" si="36"/>
        <v>0.000107615384615385</v>
      </c>
      <c r="G594" s="2">
        <f t="shared" si="39"/>
        <v>-0.0223307521693256</v>
      </c>
    </row>
    <row r="595" spans="1:7">
      <c r="A595" t="s">
        <v>376</v>
      </c>
      <c r="B595" s="22">
        <v>45100</v>
      </c>
      <c r="C595" s="2">
        <f t="shared" si="37"/>
        <v>0.0134831460674157</v>
      </c>
      <c r="D595" s="2">
        <f t="shared" si="38"/>
        <v>0.013393057336438</v>
      </c>
      <c r="E595" s="23">
        <v>0.0275</v>
      </c>
      <c r="F595" s="2">
        <f t="shared" si="36"/>
        <v>0.000105769230769231</v>
      </c>
      <c r="G595" s="2">
        <f t="shared" si="39"/>
        <v>0.0132872881056688</v>
      </c>
    </row>
    <row r="596" spans="1:7">
      <c r="A596" t="s">
        <v>377</v>
      </c>
      <c r="B596" s="22">
        <v>45000</v>
      </c>
      <c r="C596" s="2">
        <f t="shared" si="37"/>
        <v>-0.00221729490022173</v>
      </c>
      <c r="D596" s="2">
        <f t="shared" si="38"/>
        <v>-0.00221975673831289</v>
      </c>
      <c r="E596" s="23">
        <v>0.02791</v>
      </c>
      <c r="F596" s="2">
        <f t="shared" si="36"/>
        <v>0.000107346153846154</v>
      </c>
      <c r="G596" s="2">
        <f t="shared" si="39"/>
        <v>-0.00232710289215904</v>
      </c>
    </row>
    <row r="597" spans="1:7">
      <c r="A597" t="s">
        <v>378</v>
      </c>
      <c r="B597" s="22">
        <v>47000</v>
      </c>
      <c r="C597" s="2">
        <f t="shared" si="37"/>
        <v>0.0444444444444444</v>
      </c>
      <c r="D597" s="2">
        <f t="shared" si="38"/>
        <v>0.0434851119397389</v>
      </c>
      <c r="E597" s="23">
        <v>0.02772</v>
      </c>
      <c r="F597" s="2">
        <f t="shared" si="36"/>
        <v>0.000106615384615385</v>
      </c>
      <c r="G597" s="2">
        <f t="shared" si="39"/>
        <v>0.0433784965551235</v>
      </c>
    </row>
    <row r="598" spans="1:7">
      <c r="A598" t="s">
        <v>379</v>
      </c>
      <c r="B598" s="22">
        <v>48000</v>
      </c>
      <c r="C598" s="2">
        <f t="shared" si="37"/>
        <v>0.0212765957446809</v>
      </c>
      <c r="D598" s="2">
        <f t="shared" si="38"/>
        <v>0.0210534091978323</v>
      </c>
      <c r="E598" s="23">
        <v>0.0274</v>
      </c>
      <c r="F598" s="2">
        <f t="shared" si="36"/>
        <v>0.000105384615384615</v>
      </c>
      <c r="G598" s="2">
        <f t="shared" si="39"/>
        <v>0.0209480245824476</v>
      </c>
    </row>
    <row r="599" spans="1:7">
      <c r="A599" t="s">
        <v>380</v>
      </c>
      <c r="B599" s="22">
        <v>50200</v>
      </c>
      <c r="C599" s="2">
        <f t="shared" si="37"/>
        <v>0.0458333333333333</v>
      </c>
      <c r="D599" s="2">
        <f t="shared" si="38"/>
        <v>0.0448140157897926</v>
      </c>
      <c r="E599" s="23">
        <v>0.02711</v>
      </c>
      <c r="F599" s="2">
        <f t="shared" si="36"/>
        <v>0.000104269230769231</v>
      </c>
      <c r="G599" s="2">
        <f t="shared" si="39"/>
        <v>0.0447097465590234</v>
      </c>
    </row>
    <row r="600" spans="1:7">
      <c r="A600" t="s">
        <v>381</v>
      </c>
      <c r="B600" s="22">
        <v>50700</v>
      </c>
      <c r="C600" s="2">
        <f t="shared" si="37"/>
        <v>0.0099601593625498</v>
      </c>
      <c r="D600" s="2">
        <f t="shared" si="38"/>
        <v>0.00991088389945396</v>
      </c>
      <c r="E600" s="23">
        <v>0.02694</v>
      </c>
      <c r="F600" s="2">
        <f t="shared" si="36"/>
        <v>0.000103615384615385</v>
      </c>
      <c r="G600" s="2">
        <f t="shared" si="39"/>
        <v>0.00980726851483858</v>
      </c>
    </row>
    <row r="601" spans="1:7">
      <c r="A601" t="s">
        <v>382</v>
      </c>
      <c r="B601" s="22">
        <v>49350</v>
      </c>
      <c r="C601" s="2">
        <f t="shared" si="37"/>
        <v>-0.0266272189349112</v>
      </c>
      <c r="D601" s="2">
        <f t="shared" si="38"/>
        <v>-0.0269881447176469</v>
      </c>
      <c r="E601" s="23">
        <v>0.02715</v>
      </c>
      <c r="F601" s="2">
        <f t="shared" si="36"/>
        <v>0.000104423076923077</v>
      </c>
      <c r="G601" s="2">
        <f t="shared" si="39"/>
        <v>-0.02709256779457</v>
      </c>
    </row>
    <row r="602" spans="1:7">
      <c r="A602" t="s">
        <v>383</v>
      </c>
      <c r="B602" s="22">
        <v>48950</v>
      </c>
      <c r="C602" s="2">
        <f t="shared" si="37"/>
        <v>-0.00810536980749747</v>
      </c>
      <c r="D602" s="2">
        <f t="shared" si="38"/>
        <v>-0.00813839690297116</v>
      </c>
      <c r="E602" s="23">
        <v>0.02695</v>
      </c>
      <c r="F602" s="2">
        <f t="shared" si="36"/>
        <v>0.000103653846153846</v>
      </c>
      <c r="G602" s="2">
        <f t="shared" si="39"/>
        <v>-0.00824205074912501</v>
      </c>
    </row>
    <row r="603" spans="1:7">
      <c r="A603" t="s">
        <v>384</v>
      </c>
      <c r="B603" s="22">
        <v>50500</v>
      </c>
      <c r="C603" s="2">
        <f t="shared" si="37"/>
        <v>0.0316649642492339</v>
      </c>
      <c r="D603" s="2">
        <f t="shared" si="38"/>
        <v>0.0311739673047948</v>
      </c>
      <c r="E603" s="23">
        <v>0.02735</v>
      </c>
      <c r="F603" s="2">
        <f t="shared" si="36"/>
        <v>0.000105192307692308</v>
      </c>
      <c r="G603" s="2">
        <f t="shared" si="39"/>
        <v>0.0310687749971025</v>
      </c>
    </row>
    <row r="604" spans="1:7">
      <c r="A604" t="s">
        <v>385</v>
      </c>
      <c r="B604" s="22">
        <v>49000</v>
      </c>
      <c r="C604" s="2">
        <f t="shared" si="37"/>
        <v>-0.0297029702970297</v>
      </c>
      <c r="D604" s="2">
        <f t="shared" si="38"/>
        <v>-0.0301530381706876</v>
      </c>
      <c r="E604" s="23">
        <v>0.02719</v>
      </c>
      <c r="F604" s="2">
        <f t="shared" si="36"/>
        <v>0.000104576923076923</v>
      </c>
      <c r="G604" s="2">
        <f t="shared" si="39"/>
        <v>-0.0302576150937645</v>
      </c>
    </row>
    <row r="605" spans="1:7">
      <c r="A605" t="s">
        <v>386</v>
      </c>
      <c r="B605" s="22">
        <v>52100</v>
      </c>
      <c r="C605" s="2">
        <f t="shared" si="37"/>
        <v>0.063265306122449</v>
      </c>
      <c r="D605" s="2">
        <f t="shared" si="38"/>
        <v>0.0613446506486947</v>
      </c>
      <c r="E605" s="23">
        <v>0.02719</v>
      </c>
      <c r="F605" s="2">
        <f t="shared" si="36"/>
        <v>0.000104576923076923</v>
      </c>
      <c r="G605" s="2">
        <f t="shared" si="39"/>
        <v>0.0612400737256178</v>
      </c>
    </row>
    <row r="606" spans="1:7">
      <c r="A606" s="21">
        <v>45269</v>
      </c>
      <c r="B606" s="22">
        <v>53500</v>
      </c>
      <c r="C606" s="2">
        <f t="shared" si="37"/>
        <v>0.0268714011516315</v>
      </c>
      <c r="D606" s="2">
        <f t="shared" si="38"/>
        <v>0.0265167051426397</v>
      </c>
      <c r="E606" s="23">
        <v>0.02728</v>
      </c>
      <c r="F606" s="2">
        <f t="shared" si="36"/>
        <v>0.000104923076923077</v>
      </c>
      <c r="G606" s="2">
        <f t="shared" si="39"/>
        <v>0.0264117820657166</v>
      </c>
    </row>
    <row r="607" spans="1:7">
      <c r="A607" s="21">
        <v>45239</v>
      </c>
      <c r="B607" s="22">
        <v>52500</v>
      </c>
      <c r="C607" s="2">
        <f t="shared" si="37"/>
        <v>-0.0186915887850467</v>
      </c>
      <c r="D607" s="2">
        <f t="shared" si="38"/>
        <v>-0.0188684843043828</v>
      </c>
      <c r="E607" s="23">
        <v>0.02758</v>
      </c>
      <c r="F607" s="2">
        <f t="shared" si="36"/>
        <v>0.000106076923076923</v>
      </c>
      <c r="G607" s="2">
        <f t="shared" si="39"/>
        <v>-0.0189745612274597</v>
      </c>
    </row>
    <row r="608" spans="1:7">
      <c r="A608" s="21">
        <v>45147</v>
      </c>
      <c r="B608" s="22">
        <v>54000</v>
      </c>
      <c r="C608" s="2">
        <f t="shared" si="37"/>
        <v>0.0285714285714286</v>
      </c>
      <c r="D608" s="2">
        <f t="shared" si="38"/>
        <v>0.0281708769666962</v>
      </c>
      <c r="E608" s="23">
        <v>0.02753</v>
      </c>
      <c r="F608" s="2">
        <f t="shared" si="36"/>
        <v>0.000105884615384615</v>
      </c>
      <c r="G608" s="2">
        <f t="shared" si="39"/>
        <v>0.0280649923513116</v>
      </c>
    </row>
    <row r="609" spans="1:7">
      <c r="A609" s="21">
        <v>45116</v>
      </c>
      <c r="B609" s="22">
        <v>55100</v>
      </c>
      <c r="C609" s="2">
        <f t="shared" si="37"/>
        <v>0.0203703703703704</v>
      </c>
      <c r="D609" s="2">
        <f t="shared" si="38"/>
        <v>0.0201656695945944</v>
      </c>
      <c r="E609" s="23">
        <v>0.02758</v>
      </c>
      <c r="F609" s="2">
        <f t="shared" si="36"/>
        <v>0.000106076923076923</v>
      </c>
      <c r="G609" s="2">
        <f t="shared" si="39"/>
        <v>0.0200595926715175</v>
      </c>
    </row>
    <row r="610" spans="1:7">
      <c r="A610" s="21">
        <v>45086</v>
      </c>
      <c r="B610" s="22">
        <v>55900</v>
      </c>
      <c r="C610" s="2">
        <f t="shared" si="37"/>
        <v>0.014519056261343</v>
      </c>
      <c r="D610" s="2">
        <f t="shared" si="38"/>
        <v>0.0144146640021847</v>
      </c>
      <c r="E610" s="23">
        <v>0.02752</v>
      </c>
      <c r="F610" s="2">
        <f t="shared" si="36"/>
        <v>0.000105846153846154</v>
      </c>
      <c r="G610" s="2">
        <f t="shared" si="39"/>
        <v>0.0143088178483386</v>
      </c>
    </row>
    <row r="611" spans="1:7">
      <c r="A611" s="21">
        <v>45055</v>
      </c>
      <c r="B611" s="22">
        <v>55300</v>
      </c>
      <c r="C611" s="2">
        <f t="shared" si="37"/>
        <v>-0.0107334525939177</v>
      </c>
      <c r="D611" s="2">
        <f t="shared" si="38"/>
        <v>-0.0107914716327643</v>
      </c>
      <c r="E611" s="23">
        <v>0.02743</v>
      </c>
      <c r="F611" s="2">
        <f t="shared" si="36"/>
        <v>0.0001055</v>
      </c>
      <c r="G611" s="2">
        <f t="shared" si="39"/>
        <v>-0.0108969716327643</v>
      </c>
    </row>
    <row r="612" spans="1:7">
      <c r="A612" t="s">
        <v>387</v>
      </c>
      <c r="B612" s="22">
        <v>54700</v>
      </c>
      <c r="C612" s="2">
        <f t="shared" si="37"/>
        <v>-0.0108499095840868</v>
      </c>
      <c r="D612" s="2">
        <f t="shared" si="38"/>
        <v>-0.0109091991003536</v>
      </c>
      <c r="E612" s="23">
        <v>0.02717</v>
      </c>
      <c r="F612" s="2">
        <f t="shared" si="36"/>
        <v>0.0001045</v>
      </c>
      <c r="G612" s="2">
        <f t="shared" si="39"/>
        <v>-0.0110136991003536</v>
      </c>
    </row>
    <row r="613" spans="1:7">
      <c r="A613" t="s">
        <v>388</v>
      </c>
      <c r="B613" s="22">
        <v>54600</v>
      </c>
      <c r="C613" s="2">
        <f t="shared" si="37"/>
        <v>-0.00182815356489945</v>
      </c>
      <c r="D613" s="2">
        <f t="shared" si="38"/>
        <v>-0.00182982667707612</v>
      </c>
      <c r="E613" s="23">
        <v>0.02751</v>
      </c>
      <c r="F613" s="2">
        <f t="shared" si="36"/>
        <v>0.000105807692307692</v>
      </c>
      <c r="G613" s="2">
        <f t="shared" si="39"/>
        <v>-0.00193563436938381</v>
      </c>
    </row>
    <row r="614" spans="1:7">
      <c r="A614" t="s">
        <v>389</v>
      </c>
      <c r="B614" s="22">
        <v>54600</v>
      </c>
      <c r="C614" s="2">
        <f t="shared" si="37"/>
        <v>0</v>
      </c>
      <c r="D614" s="2">
        <f t="shared" si="38"/>
        <v>0</v>
      </c>
      <c r="E614" s="23">
        <v>0.02735</v>
      </c>
      <c r="F614" s="2">
        <f t="shared" si="36"/>
        <v>0.000105192307692308</v>
      </c>
      <c r="G614" s="2">
        <f t="shared" si="39"/>
        <v>-0.000105192307692308</v>
      </c>
    </row>
    <row r="615" spans="1:7">
      <c r="A615" t="s">
        <v>390</v>
      </c>
      <c r="B615" s="22">
        <v>54700</v>
      </c>
      <c r="C615" s="2">
        <f t="shared" si="37"/>
        <v>0.00183150183150183</v>
      </c>
      <c r="D615" s="2">
        <f t="shared" si="38"/>
        <v>0.00182982667707616</v>
      </c>
      <c r="E615" s="23">
        <v>0.02708</v>
      </c>
      <c r="F615" s="2">
        <f t="shared" si="36"/>
        <v>0.000104153846153846</v>
      </c>
      <c r="G615" s="2">
        <f t="shared" si="39"/>
        <v>0.00172567283092231</v>
      </c>
    </row>
    <row r="616" spans="1:7">
      <c r="A616" t="s">
        <v>391</v>
      </c>
      <c r="B616" s="22">
        <v>54100</v>
      </c>
      <c r="C616" s="2">
        <f t="shared" si="37"/>
        <v>-0.0109689213893967</v>
      </c>
      <c r="D616" s="2">
        <f t="shared" si="38"/>
        <v>-0.0110295235754997</v>
      </c>
      <c r="E616" s="23">
        <v>0.02662</v>
      </c>
      <c r="F616" s="2">
        <f t="shared" si="36"/>
        <v>0.000102384615384615</v>
      </c>
      <c r="G616" s="2">
        <f t="shared" si="39"/>
        <v>-0.0111319081908843</v>
      </c>
    </row>
    <row r="617" spans="1:7">
      <c r="A617" t="s">
        <v>392</v>
      </c>
      <c r="B617" s="22">
        <v>55400</v>
      </c>
      <c r="C617" s="2">
        <f t="shared" si="37"/>
        <v>0.0240295748613678</v>
      </c>
      <c r="D617" s="2">
        <f t="shared" si="38"/>
        <v>0.0237454079008024</v>
      </c>
      <c r="E617" s="23">
        <v>0.02685</v>
      </c>
      <c r="F617" s="2">
        <f t="shared" si="36"/>
        <v>0.000103269230769231</v>
      </c>
      <c r="G617" s="2">
        <f t="shared" si="39"/>
        <v>0.0236421386700331</v>
      </c>
    </row>
    <row r="618" spans="1:7">
      <c r="A618" t="s">
        <v>393</v>
      </c>
      <c r="B618" s="22">
        <v>54500</v>
      </c>
      <c r="C618" s="2">
        <f t="shared" si="37"/>
        <v>-0.0162454873646209</v>
      </c>
      <c r="D618" s="2">
        <f t="shared" si="38"/>
        <v>-0.0163788920840397</v>
      </c>
      <c r="E618" s="23">
        <v>0.02694</v>
      </c>
      <c r="F618" s="2">
        <f t="shared" si="36"/>
        <v>0.000103615384615385</v>
      </c>
      <c r="G618" s="2">
        <f t="shared" si="39"/>
        <v>-0.0164825074686551</v>
      </c>
    </row>
    <row r="619" spans="1:7">
      <c r="A619" t="s">
        <v>394</v>
      </c>
      <c r="B619" s="22">
        <v>55500</v>
      </c>
      <c r="C619" s="2">
        <f t="shared" si="37"/>
        <v>0.018348623853211</v>
      </c>
      <c r="D619" s="2">
        <f t="shared" si="38"/>
        <v>0.0181823190831903</v>
      </c>
      <c r="E619" s="23">
        <v>0.02684</v>
      </c>
      <c r="F619" s="2">
        <f t="shared" si="36"/>
        <v>0.000103230769230769</v>
      </c>
      <c r="G619" s="2">
        <f t="shared" si="39"/>
        <v>0.0180790883139596</v>
      </c>
    </row>
    <row r="620" spans="1:7">
      <c r="A620" t="s">
        <v>395</v>
      </c>
      <c r="B620" s="22">
        <v>56000</v>
      </c>
      <c r="C620" s="2">
        <f t="shared" si="37"/>
        <v>0.00900900900900901</v>
      </c>
      <c r="D620" s="2">
        <f t="shared" si="38"/>
        <v>0.00896866998276032</v>
      </c>
      <c r="E620" s="23">
        <v>0.02651</v>
      </c>
      <c r="F620" s="2">
        <f t="shared" si="36"/>
        <v>0.000101961538461538</v>
      </c>
      <c r="G620" s="2">
        <f t="shared" si="39"/>
        <v>0.00886670844429878</v>
      </c>
    </row>
    <row r="621" spans="1:7">
      <c r="A621" t="s">
        <v>396</v>
      </c>
      <c r="B621" s="22">
        <v>56800</v>
      </c>
      <c r="C621" s="2">
        <f t="shared" si="37"/>
        <v>0.0142857142857143</v>
      </c>
      <c r="D621" s="2">
        <f t="shared" si="38"/>
        <v>0.0141846349919564</v>
      </c>
      <c r="E621" s="23">
        <v>0.02579</v>
      </c>
      <c r="F621" s="2">
        <f t="shared" si="36"/>
        <v>9.91923076923077e-5</v>
      </c>
      <c r="G621" s="2">
        <f t="shared" si="39"/>
        <v>0.0140854426842641</v>
      </c>
    </row>
    <row r="622" spans="1:7">
      <c r="A622" t="s">
        <v>397</v>
      </c>
      <c r="B622" s="22">
        <v>61000</v>
      </c>
      <c r="C622" s="2">
        <f t="shared" si="37"/>
        <v>0.073943661971831</v>
      </c>
      <c r="D622" s="2">
        <f t="shared" si="38"/>
        <v>0.0713375384462056</v>
      </c>
      <c r="E622" s="23">
        <v>0.02636</v>
      </c>
      <c r="F622" s="2">
        <f t="shared" si="36"/>
        <v>0.000101384615384615</v>
      </c>
      <c r="G622" s="2">
        <f t="shared" si="39"/>
        <v>0.071236153830821</v>
      </c>
    </row>
    <row r="623" spans="1:7">
      <c r="A623" t="s">
        <v>398</v>
      </c>
      <c r="B623" s="22">
        <v>62900</v>
      </c>
      <c r="C623" s="2">
        <f t="shared" si="37"/>
        <v>0.0311475409836066</v>
      </c>
      <c r="D623" s="2">
        <f t="shared" si="38"/>
        <v>0.0306722995330836</v>
      </c>
      <c r="E623" s="23">
        <v>0.02672</v>
      </c>
      <c r="F623" s="2">
        <f t="shared" si="36"/>
        <v>0.000102769230769231</v>
      </c>
      <c r="G623" s="2">
        <f t="shared" si="39"/>
        <v>0.0305695303023144</v>
      </c>
    </row>
    <row r="624" spans="1:7">
      <c r="A624" t="s">
        <v>399</v>
      </c>
      <c r="B624" s="22">
        <v>61700</v>
      </c>
      <c r="C624" s="2">
        <f t="shared" si="37"/>
        <v>-0.0190779014308426</v>
      </c>
      <c r="D624" s="2">
        <f t="shared" si="38"/>
        <v>-0.0192622327950527</v>
      </c>
      <c r="E624" s="23">
        <v>0.02616</v>
      </c>
      <c r="F624" s="2">
        <f t="shared" si="36"/>
        <v>0.000100615384615385</v>
      </c>
      <c r="G624" s="2">
        <f t="shared" si="39"/>
        <v>-0.0193628481796681</v>
      </c>
    </row>
    <row r="625" spans="1:7">
      <c r="A625" t="s">
        <v>400</v>
      </c>
      <c r="B625" s="22">
        <v>61200</v>
      </c>
      <c r="C625" s="2">
        <f t="shared" si="37"/>
        <v>-0.00810372771474878</v>
      </c>
      <c r="D625" s="2">
        <f t="shared" si="38"/>
        <v>-0.00813674139306171</v>
      </c>
      <c r="E625" s="23">
        <v>0.02591</v>
      </c>
      <c r="F625" s="2">
        <f t="shared" si="36"/>
        <v>9.96538461538462e-5</v>
      </c>
      <c r="G625" s="2">
        <f t="shared" si="39"/>
        <v>-0.00823639523921556</v>
      </c>
    </row>
    <row r="626" spans="1:7">
      <c r="A626" s="21">
        <v>45238</v>
      </c>
      <c r="B626" s="22">
        <v>60900</v>
      </c>
      <c r="C626" s="2">
        <f t="shared" si="37"/>
        <v>-0.00490196078431373</v>
      </c>
      <c r="D626" s="2">
        <f t="shared" si="38"/>
        <v>-0.00491401480242904</v>
      </c>
      <c r="E626" s="23">
        <v>0.02555</v>
      </c>
      <c r="F626" s="2">
        <f t="shared" si="36"/>
        <v>9.82692307692308e-5</v>
      </c>
      <c r="G626" s="2">
        <f t="shared" si="39"/>
        <v>-0.00501228403319827</v>
      </c>
    </row>
    <row r="627" spans="1:7">
      <c r="A627" s="21">
        <v>45207</v>
      </c>
      <c r="B627" s="22">
        <v>60600</v>
      </c>
      <c r="C627" s="2">
        <f t="shared" si="37"/>
        <v>-0.00492610837438424</v>
      </c>
      <c r="D627" s="2">
        <f t="shared" si="38"/>
        <v>-0.00493828164058257</v>
      </c>
      <c r="E627" s="23">
        <v>0.02539</v>
      </c>
      <c r="F627" s="2">
        <f t="shared" si="36"/>
        <v>9.76538461538462e-5</v>
      </c>
      <c r="G627" s="2">
        <f t="shared" si="39"/>
        <v>-0.00503593548673641</v>
      </c>
    </row>
    <row r="628" spans="1:7">
      <c r="A628" s="21">
        <v>45177</v>
      </c>
      <c r="B628" s="22">
        <v>60600</v>
      </c>
      <c r="C628" s="2">
        <f t="shared" si="37"/>
        <v>0</v>
      </c>
      <c r="D628" s="2">
        <f t="shared" si="38"/>
        <v>0</v>
      </c>
      <c r="E628" s="23">
        <v>0.02598</v>
      </c>
      <c r="F628" s="2">
        <f t="shared" si="36"/>
        <v>9.99230769230769e-5</v>
      </c>
      <c r="G628" s="2">
        <f t="shared" si="39"/>
        <v>-9.99230769230769e-5</v>
      </c>
    </row>
    <row r="629" spans="1:7">
      <c r="A629" s="21">
        <v>45146</v>
      </c>
      <c r="B629" s="22">
        <v>62800</v>
      </c>
      <c r="C629" s="2">
        <f t="shared" si="37"/>
        <v>0.0363036303630363</v>
      </c>
      <c r="D629" s="2">
        <f t="shared" si="38"/>
        <v>0.0356601803988843</v>
      </c>
      <c r="E629" s="23">
        <v>0.02574</v>
      </c>
      <c r="F629" s="2">
        <f t="shared" si="36"/>
        <v>9.9e-5</v>
      </c>
      <c r="G629" s="2">
        <f t="shared" si="39"/>
        <v>0.0355611803988843</v>
      </c>
    </row>
    <row r="630" spans="1:7">
      <c r="A630" s="21">
        <v>45115</v>
      </c>
      <c r="B630" s="22">
        <v>62900</v>
      </c>
      <c r="C630" s="2">
        <f t="shared" si="37"/>
        <v>0.00159235668789809</v>
      </c>
      <c r="D630" s="2">
        <f t="shared" si="38"/>
        <v>0.0015910902322419</v>
      </c>
      <c r="E630" s="23">
        <v>0.02574</v>
      </c>
      <c r="F630" s="2">
        <f t="shared" si="36"/>
        <v>9.9e-5</v>
      </c>
      <c r="G630" s="2">
        <f t="shared" si="39"/>
        <v>0.0014920902322419</v>
      </c>
    </row>
    <row r="631" spans="1:7">
      <c r="A631" s="21">
        <v>45024</v>
      </c>
      <c r="B631" s="22">
        <v>63000</v>
      </c>
      <c r="C631" s="2">
        <f t="shared" si="37"/>
        <v>0.00158982511923688</v>
      </c>
      <c r="D631" s="2">
        <f t="shared" si="38"/>
        <v>0.00158856268513774</v>
      </c>
      <c r="E631" s="23">
        <v>0.02498</v>
      </c>
      <c r="F631" s="2">
        <f t="shared" si="36"/>
        <v>9.60769230769231e-5</v>
      </c>
      <c r="G631" s="2">
        <f t="shared" si="39"/>
        <v>0.00149248576206082</v>
      </c>
    </row>
    <row r="632" spans="1:7">
      <c r="A632" s="21">
        <v>44993</v>
      </c>
      <c r="B632" s="22">
        <v>60100</v>
      </c>
      <c r="C632" s="2">
        <f t="shared" si="37"/>
        <v>-0.046031746031746</v>
      </c>
      <c r="D632" s="2">
        <f t="shared" si="38"/>
        <v>-0.0471248848503707</v>
      </c>
      <c r="E632" s="23">
        <v>0.02527</v>
      </c>
      <c r="F632" s="2">
        <f t="shared" si="36"/>
        <v>9.71923076923077e-5</v>
      </c>
      <c r="G632" s="2">
        <f t="shared" si="39"/>
        <v>-0.047222077158063</v>
      </c>
    </row>
    <row r="633" spans="1:7">
      <c r="A633" s="21">
        <v>44965</v>
      </c>
      <c r="B633" s="22">
        <v>61900</v>
      </c>
      <c r="C633" s="2">
        <f t="shared" si="37"/>
        <v>0.0299500831946755</v>
      </c>
      <c r="D633" s="2">
        <f t="shared" si="38"/>
        <v>0.0295103381493885</v>
      </c>
      <c r="E633" s="23">
        <v>0.02527</v>
      </c>
      <c r="F633" s="2">
        <f t="shared" si="36"/>
        <v>9.71923076923077e-5</v>
      </c>
      <c r="G633" s="2">
        <f t="shared" si="39"/>
        <v>0.0294131458416962</v>
      </c>
    </row>
    <row r="634" spans="1:7">
      <c r="A634" s="21">
        <v>44934</v>
      </c>
      <c r="B634" s="22">
        <v>62800</v>
      </c>
      <c r="C634" s="2">
        <f t="shared" si="37"/>
        <v>0.0145395799676898</v>
      </c>
      <c r="D634" s="2">
        <f t="shared" si="38"/>
        <v>0.0144348937836025</v>
      </c>
      <c r="E634" s="23">
        <v>0.02497</v>
      </c>
      <c r="F634" s="2">
        <f t="shared" si="36"/>
        <v>9.60384615384615e-5</v>
      </c>
      <c r="G634" s="2">
        <f t="shared" si="39"/>
        <v>0.014338855322064</v>
      </c>
    </row>
    <row r="635" spans="1:7">
      <c r="A635" t="s">
        <v>401</v>
      </c>
      <c r="B635" s="22">
        <v>63000</v>
      </c>
      <c r="C635" s="2">
        <f t="shared" si="37"/>
        <v>0.00318471337579618</v>
      </c>
      <c r="D635" s="2">
        <f t="shared" si="38"/>
        <v>0.00317965291737981</v>
      </c>
      <c r="E635" s="23">
        <v>0.02561</v>
      </c>
      <c r="F635" s="2">
        <f t="shared" si="36"/>
        <v>9.85e-5</v>
      </c>
      <c r="G635" s="2">
        <f t="shared" si="39"/>
        <v>0.00308115291737981</v>
      </c>
    </row>
    <row r="636" spans="1:7">
      <c r="A636" t="s">
        <v>402</v>
      </c>
      <c r="B636" s="22">
        <v>58900</v>
      </c>
      <c r="C636" s="2">
        <f t="shared" si="37"/>
        <v>-0.0650793650793651</v>
      </c>
      <c r="D636" s="2">
        <f t="shared" si="38"/>
        <v>-0.0672936357339916</v>
      </c>
      <c r="E636" s="23">
        <v>0.02551</v>
      </c>
      <c r="F636" s="2">
        <f t="shared" si="36"/>
        <v>9.81153846153846e-5</v>
      </c>
      <c r="G636" s="2">
        <f t="shared" si="39"/>
        <v>-0.067391751118607</v>
      </c>
    </row>
    <row r="637" spans="1:7">
      <c r="A637" t="s">
        <v>403</v>
      </c>
      <c r="B637" s="22">
        <v>57500</v>
      </c>
      <c r="C637" s="2">
        <f t="shared" si="37"/>
        <v>-0.0237691001697793</v>
      </c>
      <c r="D637" s="2">
        <f t="shared" si="38"/>
        <v>-0.0240561428542363</v>
      </c>
      <c r="E637" s="23">
        <v>0.02537</v>
      </c>
      <c r="F637" s="2">
        <f t="shared" si="36"/>
        <v>9.75769230769231e-5</v>
      </c>
      <c r="G637" s="2">
        <f t="shared" si="39"/>
        <v>-0.0241537197773132</v>
      </c>
    </row>
    <row r="638" spans="1:7">
      <c r="A638" t="s">
        <v>404</v>
      </c>
      <c r="B638" s="22">
        <v>59000</v>
      </c>
      <c r="C638" s="2">
        <f t="shared" si="37"/>
        <v>0.0260869565217391</v>
      </c>
      <c r="D638" s="2">
        <f t="shared" si="38"/>
        <v>0.0257524961024148</v>
      </c>
      <c r="E638" s="23">
        <v>0.02595</v>
      </c>
      <c r="F638" s="2">
        <f t="shared" si="36"/>
        <v>9.98076923076923e-5</v>
      </c>
      <c r="G638" s="2">
        <f t="shared" si="39"/>
        <v>0.0256526884101071</v>
      </c>
    </row>
    <row r="639" spans="1:7">
      <c r="A639" t="s">
        <v>405</v>
      </c>
      <c r="B639" s="22">
        <v>58600</v>
      </c>
      <c r="C639" s="2">
        <f t="shared" si="37"/>
        <v>-0.00677966101694915</v>
      </c>
      <c r="D639" s="2">
        <f t="shared" si="38"/>
        <v>-0.00680274732275252</v>
      </c>
      <c r="E639" s="23">
        <v>0.02564</v>
      </c>
      <c r="F639" s="2">
        <f t="shared" si="36"/>
        <v>9.86153846153846e-5</v>
      </c>
      <c r="G639" s="2">
        <f t="shared" si="39"/>
        <v>-0.00690136270736791</v>
      </c>
    </row>
    <row r="640" spans="1:7">
      <c r="A640" t="s">
        <v>406</v>
      </c>
      <c r="B640" s="22">
        <v>59100</v>
      </c>
      <c r="C640" s="2">
        <f t="shared" si="37"/>
        <v>0.00853242320819113</v>
      </c>
      <c r="D640" s="2">
        <f t="shared" si="38"/>
        <v>0.0084962278290856</v>
      </c>
      <c r="E640" s="23">
        <v>0.02599</v>
      </c>
      <c r="F640" s="2">
        <f t="shared" si="36"/>
        <v>9.99615384615385e-5</v>
      </c>
      <c r="G640" s="2">
        <f t="shared" si="39"/>
        <v>0.00839626629062406</v>
      </c>
    </row>
    <row r="641" spans="1:7">
      <c r="A641" t="s">
        <v>407</v>
      </c>
      <c r="B641" s="22">
        <v>59000</v>
      </c>
      <c r="C641" s="2">
        <f t="shared" si="37"/>
        <v>-0.00169204737732657</v>
      </c>
      <c r="D641" s="2">
        <f t="shared" si="38"/>
        <v>-0.00169348050633303</v>
      </c>
      <c r="E641" s="23">
        <v>0.02561</v>
      </c>
      <c r="F641" s="2">
        <f t="shared" si="36"/>
        <v>9.85e-5</v>
      </c>
      <c r="G641" s="2">
        <f t="shared" si="39"/>
        <v>-0.00179198050633303</v>
      </c>
    </row>
    <row r="642" spans="1:7">
      <c r="A642" t="s">
        <v>408</v>
      </c>
      <c r="B642" s="22">
        <v>57700</v>
      </c>
      <c r="C642" s="2">
        <f t="shared" si="37"/>
        <v>-0.0220338983050847</v>
      </c>
      <c r="D642" s="2">
        <f t="shared" si="38"/>
        <v>-0.0222802703916656</v>
      </c>
      <c r="E642" s="23">
        <v>0.02578</v>
      </c>
      <c r="F642" s="2">
        <f t="shared" si="36"/>
        <v>9.91538461538461e-5</v>
      </c>
      <c r="G642" s="2">
        <f t="shared" si="39"/>
        <v>-0.0223794242378194</v>
      </c>
    </row>
    <row r="643" spans="1:7">
      <c r="A643" t="s">
        <v>409</v>
      </c>
      <c r="B643" s="22">
        <v>58500</v>
      </c>
      <c r="C643" s="2">
        <f t="shared" si="37"/>
        <v>0.0138648180242634</v>
      </c>
      <c r="D643" s="2">
        <f t="shared" si="38"/>
        <v>0.013769580723757</v>
      </c>
      <c r="E643" s="23">
        <v>0.02603</v>
      </c>
      <c r="F643" s="2">
        <f t="shared" ref="F643:F706" si="40">E643/260</f>
        <v>0.000100115384615385</v>
      </c>
      <c r="G643" s="2">
        <f t="shared" si="39"/>
        <v>0.0136694653391417</v>
      </c>
    </row>
    <row r="644" spans="1:7">
      <c r="A644" t="s">
        <v>410</v>
      </c>
      <c r="B644" s="22">
        <v>58800</v>
      </c>
      <c r="C644" s="2">
        <f t="shared" ref="C644:C707" si="41">(B644-B643)/B643</f>
        <v>0.00512820512820513</v>
      </c>
      <c r="D644" s="2">
        <f t="shared" ref="D644:D707" si="42">LN(B644/B643)</f>
        <v>0.00511510066677041</v>
      </c>
      <c r="E644" s="23">
        <v>0.02658</v>
      </c>
      <c r="F644" s="2">
        <f t="shared" si="40"/>
        <v>0.000102230769230769</v>
      </c>
      <c r="G644" s="2">
        <f t="shared" ref="G644:G707" si="43">D644-F644</f>
        <v>0.00501286989753964</v>
      </c>
    </row>
    <row r="645" spans="1:7">
      <c r="A645" t="s">
        <v>411</v>
      </c>
      <c r="B645" s="22">
        <v>59000</v>
      </c>
      <c r="C645" s="2">
        <f t="shared" si="41"/>
        <v>0.00340136054421769</v>
      </c>
      <c r="D645" s="2">
        <f t="shared" si="42"/>
        <v>0.00339558900113811</v>
      </c>
      <c r="E645" s="23">
        <v>0.02673</v>
      </c>
      <c r="F645" s="2">
        <f t="shared" si="40"/>
        <v>0.000102807692307692</v>
      </c>
      <c r="G645" s="2">
        <f t="shared" si="43"/>
        <v>0.00329278130883042</v>
      </c>
    </row>
    <row r="646" spans="1:7">
      <c r="A646" t="s">
        <v>412</v>
      </c>
      <c r="B646" s="22">
        <v>56400</v>
      </c>
      <c r="C646" s="2">
        <f t="shared" si="41"/>
        <v>-0.0440677966101695</v>
      </c>
      <c r="D646" s="2">
        <f t="shared" si="42"/>
        <v>-0.0450682854017062</v>
      </c>
      <c r="E646" s="23">
        <v>0.02793</v>
      </c>
      <c r="F646" s="2">
        <f t="shared" si="40"/>
        <v>0.000107423076923077</v>
      </c>
      <c r="G646" s="2">
        <f t="shared" si="43"/>
        <v>-0.0451757084786293</v>
      </c>
    </row>
    <row r="647" spans="1:7">
      <c r="A647" t="s">
        <v>413</v>
      </c>
      <c r="B647" s="22">
        <v>56300</v>
      </c>
      <c r="C647" s="2">
        <f t="shared" si="41"/>
        <v>-0.00177304964539007</v>
      </c>
      <c r="D647" s="2">
        <f t="shared" si="42"/>
        <v>-0.00177462335836849</v>
      </c>
      <c r="E647" s="23">
        <v>0.02778</v>
      </c>
      <c r="F647" s="2">
        <f t="shared" si="40"/>
        <v>0.000106846153846154</v>
      </c>
      <c r="G647" s="2">
        <f t="shared" si="43"/>
        <v>-0.00188146951221464</v>
      </c>
    </row>
    <row r="648" spans="1:7">
      <c r="A648" s="21">
        <v>45267</v>
      </c>
      <c r="B648" s="22">
        <v>55100</v>
      </c>
      <c r="C648" s="2">
        <f t="shared" si="41"/>
        <v>-0.0213143872113677</v>
      </c>
      <c r="D648" s="2">
        <f t="shared" si="42"/>
        <v>-0.0215448189867759</v>
      </c>
      <c r="E648" s="23">
        <v>0.02834</v>
      </c>
      <c r="F648" s="2">
        <f t="shared" si="40"/>
        <v>0.000109</v>
      </c>
      <c r="G648" s="2">
        <f t="shared" si="43"/>
        <v>-0.0216538189867759</v>
      </c>
    </row>
    <row r="649" spans="1:7">
      <c r="A649" s="21">
        <v>45237</v>
      </c>
      <c r="B649" s="22">
        <v>53900</v>
      </c>
      <c r="C649" s="2">
        <f t="shared" si="41"/>
        <v>-0.0217785843920145</v>
      </c>
      <c r="D649" s="2">
        <f t="shared" si="42"/>
        <v>-0.0220192382439173</v>
      </c>
      <c r="E649" s="23">
        <v>0.02787</v>
      </c>
      <c r="F649" s="2">
        <f t="shared" si="40"/>
        <v>0.000107192307692308</v>
      </c>
      <c r="G649" s="2">
        <f t="shared" si="43"/>
        <v>-0.0221264305516096</v>
      </c>
    </row>
    <row r="650" spans="1:7">
      <c r="A650" s="21">
        <v>45206</v>
      </c>
      <c r="B650" s="22">
        <v>53800</v>
      </c>
      <c r="C650" s="2">
        <f t="shared" si="41"/>
        <v>-0.00185528756957328</v>
      </c>
      <c r="D650" s="2">
        <f t="shared" si="42"/>
        <v>-0.00185701074721277</v>
      </c>
      <c r="E650" s="23">
        <v>0.02842</v>
      </c>
      <c r="F650" s="2">
        <f t="shared" si="40"/>
        <v>0.000109307692307692</v>
      </c>
      <c r="G650" s="2">
        <f t="shared" si="43"/>
        <v>-0.00196631843952046</v>
      </c>
    </row>
    <row r="651" spans="1:7">
      <c r="A651" s="21">
        <v>45114</v>
      </c>
      <c r="B651" s="22">
        <v>54000</v>
      </c>
      <c r="C651" s="2">
        <f t="shared" si="41"/>
        <v>0.00371747211895911</v>
      </c>
      <c r="D651" s="2">
        <f t="shared" si="42"/>
        <v>0.00371057939653555</v>
      </c>
      <c r="E651" s="23">
        <v>0.02914</v>
      </c>
      <c r="F651" s="2">
        <f t="shared" si="40"/>
        <v>0.000112076923076923</v>
      </c>
      <c r="G651" s="2">
        <f t="shared" si="43"/>
        <v>0.00359850247345863</v>
      </c>
    </row>
    <row r="652" spans="1:7">
      <c r="A652" s="21">
        <v>45084</v>
      </c>
      <c r="B652" s="22">
        <v>54500</v>
      </c>
      <c r="C652" s="2">
        <f t="shared" si="41"/>
        <v>0.00925925925925926</v>
      </c>
      <c r="D652" s="2">
        <f t="shared" si="42"/>
        <v>0.00921665510492405</v>
      </c>
      <c r="E652" s="23">
        <v>0.02864</v>
      </c>
      <c r="F652" s="2">
        <f t="shared" si="40"/>
        <v>0.000110153846153846</v>
      </c>
      <c r="G652" s="2">
        <f t="shared" si="43"/>
        <v>0.0091065012587702</v>
      </c>
    </row>
    <row r="653" spans="1:7">
      <c r="A653" s="21">
        <v>45053</v>
      </c>
      <c r="B653" s="22">
        <v>56100</v>
      </c>
      <c r="C653" s="2">
        <f t="shared" si="41"/>
        <v>0.0293577981651376</v>
      </c>
      <c r="D653" s="2">
        <f t="shared" si="42"/>
        <v>0.0289351108594522</v>
      </c>
      <c r="E653" s="23">
        <v>0.02839</v>
      </c>
      <c r="F653" s="2">
        <f t="shared" si="40"/>
        <v>0.000109192307692308</v>
      </c>
      <c r="G653" s="2">
        <f t="shared" si="43"/>
        <v>0.0288259185517599</v>
      </c>
    </row>
    <row r="654" spans="1:7">
      <c r="A654" s="21">
        <v>45023</v>
      </c>
      <c r="B654" s="22">
        <v>56500</v>
      </c>
      <c r="C654" s="2">
        <f t="shared" si="41"/>
        <v>0.0071301247771836</v>
      </c>
      <c r="D654" s="2">
        <f t="shared" si="42"/>
        <v>0.00710482562374458</v>
      </c>
      <c r="E654" s="23">
        <v>0.02876</v>
      </c>
      <c r="F654" s="2">
        <f t="shared" si="40"/>
        <v>0.000110615384615385</v>
      </c>
      <c r="G654" s="2">
        <f t="shared" si="43"/>
        <v>0.0069942102391292</v>
      </c>
    </row>
    <row r="655" spans="1:7">
      <c r="A655" s="21">
        <v>44992</v>
      </c>
      <c r="B655" s="22">
        <v>55900</v>
      </c>
      <c r="C655" s="2">
        <f t="shared" si="41"/>
        <v>-0.0106194690265487</v>
      </c>
      <c r="D655" s="2">
        <f t="shared" si="42"/>
        <v>-0.0106762579913418</v>
      </c>
      <c r="E655" s="23">
        <v>0.02863</v>
      </c>
      <c r="F655" s="2">
        <f t="shared" si="40"/>
        <v>0.000110115384615385</v>
      </c>
      <c r="G655" s="2">
        <f t="shared" si="43"/>
        <v>-0.0107863733759571</v>
      </c>
    </row>
    <row r="656" spans="1:7">
      <c r="A656" t="s">
        <v>414</v>
      </c>
      <c r="B656" s="22">
        <v>55000</v>
      </c>
      <c r="C656" s="2">
        <f t="shared" si="41"/>
        <v>-0.0161001788908766</v>
      </c>
      <c r="D656" s="2">
        <f t="shared" si="42"/>
        <v>-0.0162311949285826</v>
      </c>
      <c r="E656" s="23">
        <v>0.02747</v>
      </c>
      <c r="F656" s="2">
        <f t="shared" si="40"/>
        <v>0.000105653846153846</v>
      </c>
      <c r="G656" s="2">
        <f t="shared" si="43"/>
        <v>-0.0163368487747364</v>
      </c>
    </row>
    <row r="657" spans="1:7">
      <c r="A657" t="s">
        <v>415</v>
      </c>
      <c r="B657" s="22">
        <v>55000</v>
      </c>
      <c r="C657" s="2">
        <f t="shared" si="41"/>
        <v>0</v>
      </c>
      <c r="D657" s="2">
        <f t="shared" si="42"/>
        <v>0</v>
      </c>
      <c r="E657" s="23">
        <v>0.02699</v>
      </c>
      <c r="F657" s="2">
        <f t="shared" si="40"/>
        <v>0.000103807692307692</v>
      </c>
      <c r="G657" s="2">
        <f t="shared" si="43"/>
        <v>-0.000103807692307692</v>
      </c>
    </row>
    <row r="658" spans="1:7">
      <c r="A658" t="s">
        <v>416</v>
      </c>
      <c r="B658" s="22">
        <v>55400</v>
      </c>
      <c r="C658" s="2">
        <f t="shared" si="41"/>
        <v>0.00727272727272727</v>
      </c>
      <c r="D658" s="2">
        <f t="shared" si="42"/>
        <v>0.00724640852076725</v>
      </c>
      <c r="E658" s="23">
        <v>0.02662</v>
      </c>
      <c r="F658" s="2">
        <f t="shared" si="40"/>
        <v>0.000102384615384615</v>
      </c>
      <c r="G658" s="2">
        <f t="shared" si="43"/>
        <v>0.00714402390538264</v>
      </c>
    </row>
    <row r="659" spans="1:7">
      <c r="A659" t="s">
        <v>417</v>
      </c>
      <c r="B659" s="22">
        <v>55900</v>
      </c>
      <c r="C659" s="2">
        <f t="shared" si="41"/>
        <v>0.00902527075812274</v>
      </c>
      <c r="D659" s="2">
        <f t="shared" si="42"/>
        <v>0.00898478640781526</v>
      </c>
      <c r="E659" s="23">
        <v>0.0269</v>
      </c>
      <c r="F659" s="2">
        <f t="shared" si="40"/>
        <v>0.000103461538461538</v>
      </c>
      <c r="G659" s="2">
        <f t="shared" si="43"/>
        <v>0.00888132486935372</v>
      </c>
    </row>
    <row r="660" spans="1:7">
      <c r="A660" t="s">
        <v>418</v>
      </c>
      <c r="B660" s="22">
        <v>55500</v>
      </c>
      <c r="C660" s="2">
        <f t="shared" si="41"/>
        <v>-0.00715563506261181</v>
      </c>
      <c r="D660" s="2">
        <f t="shared" si="42"/>
        <v>-0.0071813594086647</v>
      </c>
      <c r="E660" s="23">
        <v>0.02691</v>
      </c>
      <c r="F660" s="2">
        <f t="shared" si="40"/>
        <v>0.0001035</v>
      </c>
      <c r="G660" s="2">
        <f t="shared" si="43"/>
        <v>-0.0072848594086647</v>
      </c>
    </row>
    <row r="661" spans="1:7">
      <c r="A661" t="s">
        <v>419</v>
      </c>
      <c r="B661" s="22">
        <v>56000</v>
      </c>
      <c r="C661" s="2">
        <f t="shared" si="41"/>
        <v>0.00900900900900901</v>
      </c>
      <c r="D661" s="2">
        <f t="shared" si="42"/>
        <v>0.00896866998276032</v>
      </c>
      <c r="E661" s="23">
        <v>0.02743</v>
      </c>
      <c r="F661" s="2">
        <f t="shared" si="40"/>
        <v>0.0001055</v>
      </c>
      <c r="G661" s="2">
        <f t="shared" si="43"/>
        <v>0.00886316998276032</v>
      </c>
    </row>
    <row r="662" spans="1:7">
      <c r="A662" t="s">
        <v>420</v>
      </c>
      <c r="B662" s="22">
        <v>55700</v>
      </c>
      <c r="C662" s="2">
        <f t="shared" si="41"/>
        <v>-0.00535714285714286</v>
      </c>
      <c r="D662" s="2">
        <f t="shared" si="42"/>
        <v>-0.00537154380191088</v>
      </c>
      <c r="E662" s="23">
        <v>0.02684</v>
      </c>
      <c r="F662" s="2">
        <f t="shared" si="40"/>
        <v>0.000103230769230769</v>
      </c>
      <c r="G662" s="2">
        <f t="shared" si="43"/>
        <v>-0.00547477457114165</v>
      </c>
    </row>
    <row r="663" spans="1:7">
      <c r="A663" t="s">
        <v>421</v>
      </c>
      <c r="B663" s="22">
        <v>54600</v>
      </c>
      <c r="C663" s="2">
        <f t="shared" si="41"/>
        <v>-0.0197486535008977</v>
      </c>
      <c r="D663" s="2">
        <f t="shared" si="42"/>
        <v>-0.019946264182379</v>
      </c>
      <c r="E663" s="23">
        <v>0.02845</v>
      </c>
      <c r="F663" s="2">
        <f t="shared" si="40"/>
        <v>0.000109423076923077</v>
      </c>
      <c r="G663" s="2">
        <f t="shared" si="43"/>
        <v>-0.0200556872593021</v>
      </c>
    </row>
    <row r="664" spans="1:7">
      <c r="A664" t="s">
        <v>422</v>
      </c>
      <c r="B664" s="22">
        <v>55100</v>
      </c>
      <c r="C664" s="2">
        <f t="shared" si="41"/>
        <v>0.00915750915750916</v>
      </c>
      <c r="D664" s="2">
        <f t="shared" si="42"/>
        <v>0.00911583340800941</v>
      </c>
      <c r="E664" s="23">
        <v>0.02857</v>
      </c>
      <c r="F664" s="2">
        <f t="shared" si="40"/>
        <v>0.000109884615384615</v>
      </c>
      <c r="G664" s="2">
        <f t="shared" si="43"/>
        <v>0.0090059487926248</v>
      </c>
    </row>
    <row r="665" spans="1:7">
      <c r="A665" t="s">
        <v>423</v>
      </c>
      <c r="B665" s="22">
        <v>55000</v>
      </c>
      <c r="C665" s="2">
        <f t="shared" si="41"/>
        <v>-0.00181488203266788</v>
      </c>
      <c r="D665" s="2">
        <f t="shared" si="42"/>
        <v>-0.00181653092639789</v>
      </c>
      <c r="E665" s="23">
        <v>0.02898</v>
      </c>
      <c r="F665" s="2">
        <f t="shared" si="40"/>
        <v>0.000111461538461538</v>
      </c>
      <c r="G665" s="2">
        <f t="shared" si="43"/>
        <v>-0.00192799246485943</v>
      </c>
    </row>
    <row r="666" spans="1:7">
      <c r="A666" t="s">
        <v>424</v>
      </c>
      <c r="B666" s="22">
        <v>56000</v>
      </c>
      <c r="C666" s="2">
        <f t="shared" si="41"/>
        <v>0.0181818181818182</v>
      </c>
      <c r="D666" s="2">
        <f t="shared" si="42"/>
        <v>0.0180185055026782</v>
      </c>
      <c r="E666" s="23">
        <v>0.02936</v>
      </c>
      <c r="F666" s="2">
        <f t="shared" si="40"/>
        <v>0.000112923076923077</v>
      </c>
      <c r="G666" s="2">
        <f t="shared" si="43"/>
        <v>0.0179055824257551</v>
      </c>
    </row>
    <row r="667" spans="1:7">
      <c r="A667" t="s">
        <v>425</v>
      </c>
      <c r="B667" s="22">
        <v>56500</v>
      </c>
      <c r="C667" s="2">
        <f t="shared" si="41"/>
        <v>0.00892857142857143</v>
      </c>
      <c r="D667" s="2">
        <f t="shared" si="42"/>
        <v>0.00888894741724599</v>
      </c>
      <c r="E667" s="23">
        <v>0.03065</v>
      </c>
      <c r="F667" s="2">
        <f t="shared" si="40"/>
        <v>0.000117884615384615</v>
      </c>
      <c r="G667" s="2">
        <f t="shared" si="43"/>
        <v>0.00877106280186138</v>
      </c>
    </row>
    <row r="668" spans="1:7">
      <c r="A668" t="s">
        <v>426</v>
      </c>
      <c r="B668" s="22">
        <v>57000</v>
      </c>
      <c r="C668" s="2">
        <f t="shared" si="41"/>
        <v>0.00884955752212389</v>
      </c>
      <c r="D668" s="2">
        <f t="shared" si="42"/>
        <v>0.00881062968215491</v>
      </c>
      <c r="E668" s="23">
        <v>0.03058</v>
      </c>
      <c r="F668" s="2">
        <f t="shared" si="40"/>
        <v>0.000117615384615385</v>
      </c>
      <c r="G668" s="2">
        <f t="shared" si="43"/>
        <v>0.00869301429753952</v>
      </c>
    </row>
    <row r="669" spans="1:7">
      <c r="A669" t="s">
        <v>427</v>
      </c>
      <c r="B669" s="22">
        <v>56700</v>
      </c>
      <c r="C669" s="2">
        <f t="shared" si="41"/>
        <v>-0.00526315789473684</v>
      </c>
      <c r="D669" s="2">
        <f t="shared" si="42"/>
        <v>-0.00527705710084378</v>
      </c>
      <c r="E669" s="23">
        <v>0.03103</v>
      </c>
      <c r="F669" s="2">
        <f t="shared" si="40"/>
        <v>0.000119346153846154</v>
      </c>
      <c r="G669" s="2">
        <f t="shared" si="43"/>
        <v>-0.00539640325468994</v>
      </c>
    </row>
    <row r="670" spans="1:7">
      <c r="A670" s="21">
        <v>45266</v>
      </c>
      <c r="B670" s="22">
        <v>55400</v>
      </c>
      <c r="C670" s="2">
        <f t="shared" si="41"/>
        <v>-0.0229276895943563</v>
      </c>
      <c r="D670" s="2">
        <f t="shared" si="42"/>
        <v>-0.0231946169804683</v>
      </c>
      <c r="E670" s="23">
        <v>0.03164</v>
      </c>
      <c r="F670" s="2">
        <f t="shared" si="40"/>
        <v>0.000121692307692308</v>
      </c>
      <c r="G670" s="2">
        <f t="shared" si="43"/>
        <v>-0.0233163092881606</v>
      </c>
    </row>
    <row r="671" spans="1:7">
      <c r="A671" s="21">
        <v>45175</v>
      </c>
      <c r="B671" s="22">
        <v>55500</v>
      </c>
      <c r="C671" s="2">
        <f t="shared" si="41"/>
        <v>0.00180505415162455</v>
      </c>
      <c r="D671" s="2">
        <f t="shared" si="42"/>
        <v>0.00180342699915073</v>
      </c>
      <c r="E671" s="23">
        <v>0.03163</v>
      </c>
      <c r="F671" s="2">
        <f t="shared" si="40"/>
        <v>0.000121653846153846</v>
      </c>
      <c r="G671" s="2">
        <f t="shared" si="43"/>
        <v>0.00168177315299688</v>
      </c>
    </row>
    <row r="672" spans="1:7">
      <c r="A672" s="21">
        <v>45144</v>
      </c>
      <c r="B672" s="22">
        <v>55400</v>
      </c>
      <c r="C672" s="2">
        <f t="shared" si="41"/>
        <v>-0.0018018018018018</v>
      </c>
      <c r="D672" s="2">
        <f t="shared" si="42"/>
        <v>-0.00180342699915068</v>
      </c>
      <c r="E672" s="23">
        <v>0.03205</v>
      </c>
      <c r="F672" s="2">
        <f t="shared" si="40"/>
        <v>0.000123269230769231</v>
      </c>
      <c r="G672" s="2">
        <f t="shared" si="43"/>
        <v>-0.00192669622991991</v>
      </c>
    </row>
    <row r="673" spans="1:7">
      <c r="A673" s="21">
        <v>45113</v>
      </c>
      <c r="B673" s="22">
        <v>55300</v>
      </c>
      <c r="C673" s="2">
        <f t="shared" si="41"/>
        <v>-0.00180505415162455</v>
      </c>
      <c r="D673" s="2">
        <f t="shared" si="42"/>
        <v>-0.00180668522494904</v>
      </c>
      <c r="E673" s="23">
        <v>0.03188</v>
      </c>
      <c r="F673" s="2">
        <f t="shared" si="40"/>
        <v>0.000122615384615385</v>
      </c>
      <c r="G673" s="2">
        <f t="shared" si="43"/>
        <v>-0.00192930060956442</v>
      </c>
    </row>
    <row r="674" spans="1:7">
      <c r="A674" s="21">
        <v>45083</v>
      </c>
      <c r="B674" s="22">
        <v>55000</v>
      </c>
      <c r="C674" s="2">
        <f t="shared" si="41"/>
        <v>-0.0054249547920434</v>
      </c>
      <c r="D674" s="2">
        <f t="shared" si="42"/>
        <v>-0.00543972329581821</v>
      </c>
      <c r="E674" s="23">
        <v>0.03196</v>
      </c>
      <c r="F674" s="2">
        <f t="shared" si="40"/>
        <v>0.000122923076923077</v>
      </c>
      <c r="G674" s="2">
        <f t="shared" si="43"/>
        <v>-0.00556264637274129</v>
      </c>
    </row>
    <row r="675" spans="1:7">
      <c r="A675" s="21">
        <v>45052</v>
      </c>
      <c r="B675" s="22">
        <v>53700</v>
      </c>
      <c r="C675" s="2">
        <f t="shared" si="41"/>
        <v>-0.0236363636363636</v>
      </c>
      <c r="D675" s="2">
        <f t="shared" si="42"/>
        <v>-0.023920183717652</v>
      </c>
      <c r="E675" s="23">
        <v>0.03204</v>
      </c>
      <c r="F675" s="2">
        <f t="shared" si="40"/>
        <v>0.000123230769230769</v>
      </c>
      <c r="G675" s="2">
        <f t="shared" si="43"/>
        <v>-0.0240434144868827</v>
      </c>
    </row>
    <row r="676" spans="1:7">
      <c r="A676" s="21">
        <v>44963</v>
      </c>
      <c r="B676" s="22">
        <v>53400</v>
      </c>
      <c r="C676" s="2">
        <f t="shared" si="41"/>
        <v>-0.00558659217877095</v>
      </c>
      <c r="D676" s="2">
        <f t="shared" si="42"/>
        <v>-0.0056022555486699</v>
      </c>
      <c r="E676" s="23">
        <v>0.03181</v>
      </c>
      <c r="F676" s="2">
        <f t="shared" si="40"/>
        <v>0.000122346153846154</v>
      </c>
      <c r="G676" s="2">
        <f t="shared" si="43"/>
        <v>-0.00572460170251605</v>
      </c>
    </row>
    <row r="677" spans="1:7">
      <c r="A677" s="21">
        <v>44932</v>
      </c>
      <c r="B677" s="22">
        <v>53000</v>
      </c>
      <c r="C677" s="2">
        <f t="shared" si="41"/>
        <v>-0.00749063670411985</v>
      </c>
      <c r="D677" s="2">
        <f t="shared" si="42"/>
        <v>-0.00751883241402734</v>
      </c>
      <c r="E677" s="23">
        <v>0.03232</v>
      </c>
      <c r="F677" s="2">
        <f t="shared" si="40"/>
        <v>0.000124307692307692</v>
      </c>
      <c r="G677" s="2">
        <f t="shared" si="43"/>
        <v>-0.00764314010633503</v>
      </c>
    </row>
    <row r="678" spans="1:7">
      <c r="A678" t="s">
        <v>428</v>
      </c>
      <c r="B678" s="22">
        <v>53500</v>
      </c>
      <c r="C678" s="2">
        <f t="shared" si="41"/>
        <v>0.00943396226415094</v>
      </c>
      <c r="D678" s="2">
        <f t="shared" si="42"/>
        <v>0.00938974034983914</v>
      </c>
      <c r="E678" s="23">
        <v>0.0327</v>
      </c>
      <c r="F678" s="2">
        <f t="shared" si="40"/>
        <v>0.000125769230769231</v>
      </c>
      <c r="G678" s="2">
        <f t="shared" si="43"/>
        <v>0.00926397111906991</v>
      </c>
    </row>
    <row r="679" spans="1:7">
      <c r="A679" t="s">
        <v>429</v>
      </c>
      <c r="B679" s="22">
        <v>54900</v>
      </c>
      <c r="C679" s="2">
        <f t="shared" si="41"/>
        <v>0.0261682242990654</v>
      </c>
      <c r="D679" s="2">
        <f t="shared" si="42"/>
        <v>0.0258316946135242</v>
      </c>
      <c r="E679" s="23">
        <v>0.03282</v>
      </c>
      <c r="F679" s="2">
        <f t="shared" si="40"/>
        <v>0.000126230769230769</v>
      </c>
      <c r="G679" s="2">
        <f t="shared" si="43"/>
        <v>0.0257054638442934</v>
      </c>
    </row>
    <row r="680" spans="1:7">
      <c r="A680" t="s">
        <v>430</v>
      </c>
      <c r="B680" s="22">
        <v>55500</v>
      </c>
      <c r="C680" s="2">
        <f t="shared" si="41"/>
        <v>0.0109289617486339</v>
      </c>
      <c r="D680" s="2">
        <f t="shared" si="42"/>
        <v>0.0108696722369039</v>
      </c>
      <c r="E680" s="23">
        <v>0.03361</v>
      </c>
      <c r="F680" s="2">
        <f t="shared" si="40"/>
        <v>0.000129269230769231</v>
      </c>
      <c r="G680" s="2">
        <f t="shared" si="43"/>
        <v>0.0107404030061347</v>
      </c>
    </row>
    <row r="681" spans="1:7">
      <c r="A681" t="s">
        <v>431</v>
      </c>
      <c r="B681" s="22">
        <v>55000</v>
      </c>
      <c r="C681" s="2">
        <f t="shared" si="41"/>
        <v>-0.00900900900900901</v>
      </c>
      <c r="D681" s="2">
        <f t="shared" si="42"/>
        <v>-0.00904983551991793</v>
      </c>
      <c r="E681" s="23">
        <v>0.03308</v>
      </c>
      <c r="F681" s="2">
        <f t="shared" si="40"/>
        <v>0.000127230769230769</v>
      </c>
      <c r="G681" s="2">
        <f t="shared" si="43"/>
        <v>-0.0091770662891487</v>
      </c>
    </row>
    <row r="682" spans="1:7">
      <c r="A682" t="s">
        <v>432</v>
      </c>
      <c r="B682" s="22">
        <v>55000</v>
      </c>
      <c r="C682" s="2">
        <f t="shared" si="41"/>
        <v>0</v>
      </c>
      <c r="D682" s="2">
        <f t="shared" si="42"/>
        <v>0</v>
      </c>
      <c r="E682" s="23">
        <v>0.03238</v>
      </c>
      <c r="F682" s="2">
        <f t="shared" si="40"/>
        <v>0.000124538461538462</v>
      </c>
      <c r="G682" s="2">
        <f t="shared" si="43"/>
        <v>-0.000124538461538462</v>
      </c>
    </row>
    <row r="683" spans="1:7">
      <c r="A683" t="s">
        <v>433</v>
      </c>
      <c r="B683" s="22">
        <v>54500</v>
      </c>
      <c r="C683" s="2">
        <f t="shared" si="41"/>
        <v>-0.00909090909090909</v>
      </c>
      <c r="D683" s="2">
        <f t="shared" si="42"/>
        <v>-0.00913248356327247</v>
      </c>
      <c r="E683" s="23">
        <v>0.03146</v>
      </c>
      <c r="F683" s="2">
        <f t="shared" si="40"/>
        <v>0.000121</v>
      </c>
      <c r="G683" s="2">
        <f t="shared" si="43"/>
        <v>-0.00925348356327247</v>
      </c>
    </row>
    <row r="684" spans="1:7">
      <c r="A684" t="s">
        <v>434</v>
      </c>
      <c r="B684" s="22">
        <v>53700</v>
      </c>
      <c r="C684" s="2">
        <f t="shared" si="41"/>
        <v>-0.0146788990825688</v>
      </c>
      <c r="D684" s="2">
        <f t="shared" si="42"/>
        <v>-0.0147877001543794</v>
      </c>
      <c r="E684" s="23">
        <v>0.03131</v>
      </c>
      <c r="F684" s="2">
        <f t="shared" si="40"/>
        <v>0.000120423076923077</v>
      </c>
      <c r="G684" s="2">
        <f t="shared" si="43"/>
        <v>-0.0149081232313025</v>
      </c>
    </row>
    <row r="685" spans="1:7">
      <c r="A685" t="s">
        <v>435</v>
      </c>
      <c r="B685" s="22">
        <v>54100</v>
      </c>
      <c r="C685" s="2">
        <f t="shared" si="41"/>
        <v>0.0074487895716946</v>
      </c>
      <c r="D685" s="2">
        <f t="shared" si="42"/>
        <v>0.00742118433761683</v>
      </c>
      <c r="E685" s="23">
        <v>0.03143</v>
      </c>
      <c r="F685" s="2">
        <f t="shared" si="40"/>
        <v>0.000120884615384615</v>
      </c>
      <c r="G685" s="2">
        <f t="shared" si="43"/>
        <v>0.00730029972223221</v>
      </c>
    </row>
    <row r="686" spans="1:7">
      <c r="A686" t="s">
        <v>436</v>
      </c>
      <c r="B686" s="22">
        <v>54100</v>
      </c>
      <c r="C686" s="2">
        <f t="shared" si="41"/>
        <v>0</v>
      </c>
      <c r="D686" s="2">
        <f t="shared" si="42"/>
        <v>0</v>
      </c>
      <c r="E686" s="23">
        <v>0.03096</v>
      </c>
      <c r="F686" s="2">
        <f t="shared" si="40"/>
        <v>0.000119076923076923</v>
      </c>
      <c r="G686" s="2">
        <f t="shared" si="43"/>
        <v>-0.000119076923076923</v>
      </c>
    </row>
    <row r="687" spans="1:7">
      <c r="A687" t="s">
        <v>437</v>
      </c>
      <c r="B687" s="22">
        <v>55000</v>
      </c>
      <c r="C687" s="2">
        <f t="shared" si="41"/>
        <v>0.0166358595194085</v>
      </c>
      <c r="D687" s="2">
        <f t="shared" si="42"/>
        <v>0.0164989993800351</v>
      </c>
      <c r="E687" s="23">
        <v>0.03093</v>
      </c>
      <c r="F687" s="2">
        <f t="shared" si="40"/>
        <v>0.000118961538461538</v>
      </c>
      <c r="G687" s="2">
        <f t="shared" si="43"/>
        <v>0.0163800378415735</v>
      </c>
    </row>
    <row r="688" spans="1:7">
      <c r="A688" t="s">
        <v>438</v>
      </c>
      <c r="B688" s="22">
        <v>53400</v>
      </c>
      <c r="C688" s="2">
        <f t="shared" si="41"/>
        <v>-0.0290909090909091</v>
      </c>
      <c r="D688" s="2">
        <f t="shared" si="42"/>
        <v>-0.0295224392663217</v>
      </c>
      <c r="E688" s="23">
        <v>0.03118</v>
      </c>
      <c r="F688" s="2">
        <f t="shared" si="40"/>
        <v>0.000119923076923077</v>
      </c>
      <c r="G688" s="2">
        <f t="shared" si="43"/>
        <v>-0.0296423623432448</v>
      </c>
    </row>
    <row r="689" spans="1:7">
      <c r="A689" t="s">
        <v>439</v>
      </c>
      <c r="B689" s="22">
        <v>52200</v>
      </c>
      <c r="C689" s="2">
        <f t="shared" si="41"/>
        <v>-0.0224719101123595</v>
      </c>
      <c r="D689" s="2">
        <f t="shared" si="42"/>
        <v>-0.0227282510775562</v>
      </c>
      <c r="E689" s="23">
        <v>0.03104</v>
      </c>
      <c r="F689" s="2">
        <f t="shared" si="40"/>
        <v>0.000119384615384615</v>
      </c>
      <c r="G689" s="2">
        <f t="shared" si="43"/>
        <v>-0.0228476356929408</v>
      </c>
    </row>
    <row r="690" spans="1:7">
      <c r="A690" t="s">
        <v>440</v>
      </c>
      <c r="B690" s="22">
        <v>51700</v>
      </c>
      <c r="C690" s="2">
        <f t="shared" si="41"/>
        <v>-0.00957854406130268</v>
      </c>
      <c r="D690" s="2">
        <f t="shared" si="42"/>
        <v>-0.00962471337420956</v>
      </c>
      <c r="E690" s="23">
        <v>0.03118</v>
      </c>
      <c r="F690" s="2">
        <f t="shared" si="40"/>
        <v>0.000119923076923077</v>
      </c>
      <c r="G690" s="2">
        <f t="shared" si="43"/>
        <v>-0.00974463645113263</v>
      </c>
    </row>
    <row r="691" spans="1:7">
      <c r="A691" s="21">
        <v>45265</v>
      </c>
      <c r="B691" s="22">
        <v>51200</v>
      </c>
      <c r="C691" s="2">
        <f t="shared" si="41"/>
        <v>-0.00967117988394584</v>
      </c>
      <c r="D691" s="2">
        <f t="shared" si="42"/>
        <v>-0.00971824946892134</v>
      </c>
      <c r="E691" s="23">
        <v>0.03118</v>
      </c>
      <c r="F691" s="2">
        <f t="shared" si="40"/>
        <v>0.000119923076923077</v>
      </c>
      <c r="G691" s="2">
        <f t="shared" si="43"/>
        <v>-0.00983817254584442</v>
      </c>
    </row>
    <row r="692" spans="1:7">
      <c r="A692" s="21">
        <v>45235</v>
      </c>
      <c r="B692" s="22">
        <v>49150</v>
      </c>
      <c r="C692" s="2">
        <f t="shared" si="41"/>
        <v>-0.0400390625</v>
      </c>
      <c r="D692" s="2">
        <f t="shared" si="42"/>
        <v>-0.0408626854522865</v>
      </c>
      <c r="E692" s="23">
        <v>0.03131</v>
      </c>
      <c r="F692" s="2">
        <f t="shared" si="40"/>
        <v>0.000120423076923077</v>
      </c>
      <c r="G692" s="2">
        <f t="shared" si="43"/>
        <v>-0.0409831085292096</v>
      </c>
    </row>
    <row r="693" spans="1:7">
      <c r="A693" s="21">
        <v>45204</v>
      </c>
      <c r="B693" s="22">
        <v>49350</v>
      </c>
      <c r="C693" s="2">
        <f t="shared" si="41"/>
        <v>0.00406917599186165</v>
      </c>
      <c r="D693" s="2">
        <f t="shared" si="42"/>
        <v>0.00406091928631501</v>
      </c>
      <c r="E693" s="23">
        <v>0.03203</v>
      </c>
      <c r="F693" s="2">
        <f t="shared" si="40"/>
        <v>0.000123192307692308</v>
      </c>
      <c r="G693" s="2">
        <f t="shared" si="43"/>
        <v>0.0039377269786227</v>
      </c>
    </row>
    <row r="694" spans="1:7">
      <c r="A694" s="21">
        <v>45174</v>
      </c>
      <c r="B694" s="22">
        <v>49300</v>
      </c>
      <c r="C694" s="2">
        <f t="shared" si="41"/>
        <v>-0.00101317122593718</v>
      </c>
      <c r="D694" s="2">
        <f t="shared" si="42"/>
        <v>-0.00101368483084612</v>
      </c>
      <c r="E694" s="23">
        <v>0.03165</v>
      </c>
      <c r="F694" s="2">
        <f t="shared" si="40"/>
        <v>0.000121730769230769</v>
      </c>
      <c r="G694" s="2">
        <f t="shared" si="43"/>
        <v>-0.00113541560007689</v>
      </c>
    </row>
    <row r="695" spans="1:7">
      <c r="A695" s="21">
        <v>45143</v>
      </c>
      <c r="B695" s="22">
        <v>49400</v>
      </c>
      <c r="C695" s="2">
        <f t="shared" si="41"/>
        <v>0.00202839756592292</v>
      </c>
      <c r="D695" s="2">
        <f t="shared" si="42"/>
        <v>0.00202634314523247</v>
      </c>
      <c r="E695" s="23">
        <v>0.03194</v>
      </c>
      <c r="F695" s="2">
        <f t="shared" si="40"/>
        <v>0.000122846153846154</v>
      </c>
      <c r="G695" s="2">
        <f t="shared" si="43"/>
        <v>0.00190349699138631</v>
      </c>
    </row>
    <row r="696" spans="1:7">
      <c r="A696" s="21">
        <v>45051</v>
      </c>
      <c r="B696" s="22">
        <v>49000</v>
      </c>
      <c r="C696" s="2">
        <f t="shared" si="41"/>
        <v>-0.00809716599190283</v>
      </c>
      <c r="D696" s="2">
        <f t="shared" si="42"/>
        <v>-0.00813012608325018</v>
      </c>
      <c r="E696" s="23">
        <v>0.03266</v>
      </c>
      <c r="F696" s="2">
        <f t="shared" si="40"/>
        <v>0.000125615384615385</v>
      </c>
      <c r="G696" s="2">
        <f t="shared" si="43"/>
        <v>-0.00825574146786556</v>
      </c>
    </row>
    <row r="697" spans="1:7">
      <c r="A697" s="21">
        <v>45021</v>
      </c>
      <c r="B697" s="22">
        <v>49500</v>
      </c>
      <c r="C697" s="2">
        <f t="shared" si="41"/>
        <v>0.0102040816326531</v>
      </c>
      <c r="D697" s="2">
        <f t="shared" si="42"/>
        <v>0.0101523714640179</v>
      </c>
      <c r="E697" s="23">
        <v>0.03331</v>
      </c>
      <c r="F697" s="2">
        <f t="shared" si="40"/>
        <v>0.000128115384615385</v>
      </c>
      <c r="G697" s="2">
        <f t="shared" si="43"/>
        <v>0.0100242560794025</v>
      </c>
    </row>
    <row r="698" spans="1:7">
      <c r="A698" t="s">
        <v>441</v>
      </c>
      <c r="B698" s="22">
        <v>49500</v>
      </c>
      <c r="C698" s="2">
        <f t="shared" si="41"/>
        <v>0</v>
      </c>
      <c r="D698" s="2">
        <f t="shared" si="42"/>
        <v>0</v>
      </c>
      <c r="E698" s="23">
        <v>0.03363</v>
      </c>
      <c r="F698" s="2">
        <f t="shared" si="40"/>
        <v>0.000129346153846154</v>
      </c>
      <c r="G698" s="2">
        <f t="shared" si="43"/>
        <v>-0.000129346153846154</v>
      </c>
    </row>
    <row r="699" spans="1:7">
      <c r="A699" t="s">
        <v>442</v>
      </c>
      <c r="B699" s="22">
        <v>47500</v>
      </c>
      <c r="C699" s="2">
        <f t="shared" si="41"/>
        <v>-0.0404040404040404</v>
      </c>
      <c r="D699" s="2">
        <f t="shared" si="42"/>
        <v>-0.0412429585340491</v>
      </c>
      <c r="E699" s="23">
        <v>0.03336</v>
      </c>
      <c r="F699" s="2">
        <f t="shared" si="40"/>
        <v>0.000128307692307692</v>
      </c>
      <c r="G699" s="2">
        <f t="shared" si="43"/>
        <v>-0.0413712662263568</v>
      </c>
    </row>
    <row r="700" spans="1:7">
      <c r="A700" t="s">
        <v>443</v>
      </c>
      <c r="B700" s="22">
        <v>48000</v>
      </c>
      <c r="C700" s="2">
        <f t="shared" si="41"/>
        <v>0.0105263157894737</v>
      </c>
      <c r="D700" s="2">
        <f t="shared" si="42"/>
        <v>0.0104712998672954</v>
      </c>
      <c r="E700" s="23">
        <v>0.03375</v>
      </c>
      <c r="F700" s="2">
        <f t="shared" si="40"/>
        <v>0.000129807692307692</v>
      </c>
      <c r="G700" s="2">
        <f t="shared" si="43"/>
        <v>0.0103414921749877</v>
      </c>
    </row>
    <row r="701" spans="1:7">
      <c r="A701" t="s">
        <v>444</v>
      </c>
      <c r="B701" s="22">
        <v>50200</v>
      </c>
      <c r="C701" s="2">
        <f t="shared" si="41"/>
        <v>0.0458333333333333</v>
      </c>
      <c r="D701" s="2">
        <f t="shared" si="42"/>
        <v>0.0448140157897926</v>
      </c>
      <c r="E701" s="23">
        <v>0.03392</v>
      </c>
      <c r="F701" s="2">
        <f t="shared" si="40"/>
        <v>0.000130461538461538</v>
      </c>
      <c r="G701" s="2">
        <f t="shared" si="43"/>
        <v>0.0446835542513311</v>
      </c>
    </row>
    <row r="702" spans="1:7">
      <c r="A702" t="s">
        <v>445</v>
      </c>
      <c r="B702" s="22">
        <v>50500</v>
      </c>
      <c r="C702" s="2">
        <f t="shared" si="41"/>
        <v>0.00597609561752988</v>
      </c>
      <c r="D702" s="2">
        <f t="shared" si="42"/>
        <v>0.00595830958363062</v>
      </c>
      <c r="E702" s="23">
        <v>0.03491</v>
      </c>
      <c r="F702" s="2">
        <f t="shared" si="40"/>
        <v>0.000134269230769231</v>
      </c>
      <c r="G702" s="2">
        <f t="shared" si="43"/>
        <v>0.00582404035286139</v>
      </c>
    </row>
    <row r="703" spans="1:7">
      <c r="A703" t="s">
        <v>446</v>
      </c>
      <c r="B703" s="22">
        <v>50300</v>
      </c>
      <c r="C703" s="2">
        <f t="shared" si="41"/>
        <v>-0.00396039603960396</v>
      </c>
      <c r="D703" s="2">
        <f t="shared" si="42"/>
        <v>-0.00396825917562062</v>
      </c>
      <c r="E703" s="23">
        <v>0.03419</v>
      </c>
      <c r="F703" s="2">
        <f t="shared" si="40"/>
        <v>0.0001315</v>
      </c>
      <c r="G703" s="2">
        <f t="shared" si="43"/>
        <v>-0.00409975917562062</v>
      </c>
    </row>
    <row r="704" spans="1:7">
      <c r="A704" t="s">
        <v>447</v>
      </c>
      <c r="B704" s="22">
        <v>50700</v>
      </c>
      <c r="C704" s="2">
        <f t="shared" si="41"/>
        <v>0.00795228628230616</v>
      </c>
      <c r="D704" s="2">
        <f t="shared" si="42"/>
        <v>0.00792083349144406</v>
      </c>
      <c r="E704" s="23">
        <v>0.03449</v>
      </c>
      <c r="F704" s="2">
        <f t="shared" si="40"/>
        <v>0.000132653846153846</v>
      </c>
      <c r="G704" s="2">
        <f t="shared" si="43"/>
        <v>0.00778817964529021</v>
      </c>
    </row>
    <row r="705" spans="1:7">
      <c r="A705" t="s">
        <v>448</v>
      </c>
      <c r="B705" s="22">
        <v>50400</v>
      </c>
      <c r="C705" s="2">
        <f t="shared" si="41"/>
        <v>-0.00591715976331361</v>
      </c>
      <c r="D705" s="2">
        <f t="shared" si="42"/>
        <v>-0.00593473551981458</v>
      </c>
      <c r="E705" s="23">
        <v>0.03443</v>
      </c>
      <c r="F705" s="2">
        <f t="shared" si="40"/>
        <v>0.000132423076923077</v>
      </c>
      <c r="G705" s="2">
        <f t="shared" si="43"/>
        <v>-0.00606715859673765</v>
      </c>
    </row>
    <row r="706" spans="1:7">
      <c r="A706" t="s">
        <v>449</v>
      </c>
      <c r="B706" s="22">
        <v>50800</v>
      </c>
      <c r="C706" s="2">
        <f t="shared" si="41"/>
        <v>0.00793650793650794</v>
      </c>
      <c r="D706" s="2">
        <f t="shared" si="42"/>
        <v>0.00790517950711325</v>
      </c>
      <c r="E706" s="23">
        <v>0.03477</v>
      </c>
      <c r="F706" s="2">
        <f t="shared" si="40"/>
        <v>0.000133730769230769</v>
      </c>
      <c r="G706" s="2">
        <f t="shared" si="43"/>
        <v>0.00777144873788248</v>
      </c>
    </row>
    <row r="707" spans="1:7">
      <c r="A707" t="s">
        <v>450</v>
      </c>
      <c r="B707" s="22">
        <v>50300</v>
      </c>
      <c r="C707" s="2">
        <f t="shared" si="41"/>
        <v>-0.00984251968503937</v>
      </c>
      <c r="D707" s="2">
        <f t="shared" si="42"/>
        <v>-0.00989127747874267</v>
      </c>
      <c r="E707" s="23">
        <v>0.03412</v>
      </c>
      <c r="F707" s="2">
        <f t="shared" ref="F707:F753" si="44">E707/260</f>
        <v>0.000131230769230769</v>
      </c>
      <c r="G707" s="2">
        <f t="shared" si="43"/>
        <v>-0.0100225082479734</v>
      </c>
    </row>
    <row r="708" spans="1:7">
      <c r="A708" t="s">
        <v>451</v>
      </c>
      <c r="B708" s="22">
        <v>50000</v>
      </c>
      <c r="C708" s="2">
        <f t="shared" ref="C708:C753" si="45">(B708-B707)/B707</f>
        <v>-0.00596421471172962</v>
      </c>
      <c r="D708" s="2">
        <f t="shared" ref="D708:D753" si="46">LN(B708/B707)</f>
        <v>-0.00598207167754743</v>
      </c>
      <c r="E708" s="23">
        <v>0.0347</v>
      </c>
      <c r="F708" s="2">
        <f t="shared" si="44"/>
        <v>0.000133461538461538</v>
      </c>
      <c r="G708" s="2">
        <f t="shared" ref="G708:G753" si="47">D708-F708</f>
        <v>-0.00611553321600897</v>
      </c>
    </row>
    <row r="709" spans="1:7">
      <c r="A709" t="s">
        <v>452</v>
      </c>
      <c r="B709" s="22">
        <v>50500</v>
      </c>
      <c r="C709" s="2">
        <f t="shared" si="45"/>
        <v>0.01</v>
      </c>
      <c r="D709" s="2">
        <f t="shared" si="46"/>
        <v>0.00995033085316809</v>
      </c>
      <c r="E709" s="23">
        <v>0.03489</v>
      </c>
      <c r="F709" s="2">
        <f t="shared" si="44"/>
        <v>0.000134192307692308</v>
      </c>
      <c r="G709" s="2">
        <f t="shared" si="47"/>
        <v>0.00981613854547578</v>
      </c>
    </row>
    <row r="710" spans="1:7">
      <c r="A710" s="21">
        <v>45264</v>
      </c>
      <c r="B710" s="22">
        <v>51600</v>
      </c>
      <c r="C710" s="2">
        <f t="shared" si="45"/>
        <v>0.0217821782178218</v>
      </c>
      <c r="D710" s="2">
        <f t="shared" si="46"/>
        <v>0.0215483362062029</v>
      </c>
      <c r="E710" s="23">
        <v>0.03429</v>
      </c>
      <c r="F710" s="2">
        <f t="shared" si="44"/>
        <v>0.000131884615384615</v>
      </c>
      <c r="G710" s="2">
        <f t="shared" si="47"/>
        <v>0.0214164515908183</v>
      </c>
    </row>
    <row r="711" spans="1:7">
      <c r="A711" s="21">
        <v>45234</v>
      </c>
      <c r="B711" s="22">
        <v>51500</v>
      </c>
      <c r="C711" s="2">
        <f t="shared" si="45"/>
        <v>-0.00193798449612403</v>
      </c>
      <c r="D711" s="2">
        <f t="shared" si="46"/>
        <v>-0.00193986481782659</v>
      </c>
      <c r="E711" s="23">
        <v>0.03445</v>
      </c>
      <c r="F711" s="2">
        <f t="shared" si="44"/>
        <v>0.0001325</v>
      </c>
      <c r="G711" s="2">
        <f t="shared" si="47"/>
        <v>-0.00207236481782659</v>
      </c>
    </row>
    <row r="712" spans="1:7">
      <c r="A712" s="21">
        <v>45203</v>
      </c>
      <c r="B712" s="22">
        <v>49800</v>
      </c>
      <c r="C712" s="2">
        <f t="shared" si="45"/>
        <v>-0.0330097087378641</v>
      </c>
      <c r="D712" s="2">
        <f t="shared" si="46"/>
        <v>-0.0335668236390833</v>
      </c>
      <c r="E712" s="23">
        <v>0.03452</v>
      </c>
      <c r="F712" s="2">
        <f t="shared" si="44"/>
        <v>0.000132769230769231</v>
      </c>
      <c r="G712" s="2">
        <f t="shared" si="47"/>
        <v>-0.0336995928698525</v>
      </c>
    </row>
    <row r="713" spans="1:7">
      <c r="A713" s="21">
        <v>45111</v>
      </c>
      <c r="B713" s="22">
        <v>50700</v>
      </c>
      <c r="C713" s="2">
        <f t="shared" si="45"/>
        <v>0.0180722891566265</v>
      </c>
      <c r="D713" s="2">
        <f t="shared" si="46"/>
        <v>0.0179109265665302</v>
      </c>
      <c r="E713" s="23">
        <v>0.03547</v>
      </c>
      <c r="F713" s="2">
        <f t="shared" si="44"/>
        <v>0.000136423076923077</v>
      </c>
      <c r="G713" s="2">
        <f t="shared" si="47"/>
        <v>0.0177745034896072</v>
      </c>
    </row>
    <row r="714" spans="1:7">
      <c r="A714" s="21">
        <v>45081</v>
      </c>
      <c r="B714" s="22">
        <v>51200</v>
      </c>
      <c r="C714" s="2">
        <f t="shared" si="45"/>
        <v>0.00986193293885602</v>
      </c>
      <c r="D714" s="2">
        <f t="shared" si="46"/>
        <v>0.00981362144832467</v>
      </c>
      <c r="E714" s="23">
        <v>0.036</v>
      </c>
      <c r="F714" s="2">
        <f t="shared" si="44"/>
        <v>0.000138461538461538</v>
      </c>
      <c r="G714" s="2">
        <f t="shared" si="47"/>
        <v>0.00967515990986313</v>
      </c>
    </row>
    <row r="715" spans="1:7">
      <c r="A715" s="21">
        <v>45050</v>
      </c>
      <c r="B715" s="22">
        <v>52200</v>
      </c>
      <c r="C715" s="2">
        <f t="shared" si="45"/>
        <v>0.01953125</v>
      </c>
      <c r="D715" s="2">
        <f t="shared" si="46"/>
        <v>0.0193429628431309</v>
      </c>
      <c r="E715" s="23">
        <v>0.03574</v>
      </c>
      <c r="F715" s="2">
        <f t="shared" si="44"/>
        <v>0.000137461538461538</v>
      </c>
      <c r="G715" s="2">
        <f t="shared" si="47"/>
        <v>0.0192055013046694</v>
      </c>
    </row>
    <row r="716" spans="1:7">
      <c r="A716" s="21">
        <v>45020</v>
      </c>
      <c r="B716" s="22">
        <v>51000</v>
      </c>
      <c r="C716" s="2">
        <f t="shared" si="45"/>
        <v>-0.0229885057471264</v>
      </c>
      <c r="D716" s="2">
        <f t="shared" si="46"/>
        <v>-0.0232568621642672</v>
      </c>
      <c r="E716" s="23">
        <v>0.03564</v>
      </c>
      <c r="F716" s="2">
        <f t="shared" si="44"/>
        <v>0.000137076923076923</v>
      </c>
      <c r="G716" s="2">
        <f t="shared" si="47"/>
        <v>-0.0233939390873442</v>
      </c>
    </row>
    <row r="717" spans="1:7">
      <c r="A717" s="21">
        <v>44989</v>
      </c>
      <c r="B717" s="22">
        <v>52600</v>
      </c>
      <c r="C717" s="2">
        <f t="shared" si="45"/>
        <v>0.0313725490196078</v>
      </c>
      <c r="D717" s="2">
        <f t="shared" si="46"/>
        <v>0.0308904870193385</v>
      </c>
      <c r="E717" s="23">
        <v>0.03592</v>
      </c>
      <c r="F717" s="2">
        <f t="shared" si="44"/>
        <v>0.000138153846153846</v>
      </c>
      <c r="G717" s="2">
        <f t="shared" si="47"/>
        <v>0.0307523331731847</v>
      </c>
    </row>
    <row r="718" spans="1:7">
      <c r="A718" t="s">
        <v>453</v>
      </c>
      <c r="B718" s="22">
        <v>51500</v>
      </c>
      <c r="C718" s="2">
        <f t="shared" si="45"/>
        <v>-0.0209125475285171</v>
      </c>
      <c r="D718" s="2">
        <f t="shared" si="46"/>
        <v>-0.0211343120739737</v>
      </c>
      <c r="E718" s="23">
        <v>0.03469</v>
      </c>
      <c r="F718" s="2">
        <f t="shared" si="44"/>
        <v>0.000133423076923077</v>
      </c>
      <c r="G718" s="2">
        <f t="shared" si="47"/>
        <v>-0.0212677351508968</v>
      </c>
    </row>
    <row r="719" spans="1:7">
      <c r="A719" t="s">
        <v>454</v>
      </c>
      <c r="B719" s="22">
        <v>49550</v>
      </c>
      <c r="C719" s="2">
        <f t="shared" si="45"/>
        <v>-0.0378640776699029</v>
      </c>
      <c r="D719" s="2">
        <f t="shared" si="46"/>
        <v>-0.0385995468936935</v>
      </c>
      <c r="E719" s="23">
        <v>0.03714</v>
      </c>
      <c r="F719" s="2">
        <f t="shared" si="44"/>
        <v>0.000142846153846154</v>
      </c>
      <c r="G719" s="2">
        <f t="shared" si="47"/>
        <v>-0.0387423930475397</v>
      </c>
    </row>
    <row r="720" spans="1:7">
      <c r="A720" t="s">
        <v>455</v>
      </c>
      <c r="B720" s="22">
        <v>48000</v>
      </c>
      <c r="C720" s="2">
        <f t="shared" si="45"/>
        <v>-0.0312815338042381</v>
      </c>
      <c r="D720" s="2">
        <f t="shared" si="46"/>
        <v>-0.0317812498681061</v>
      </c>
      <c r="E720" s="23">
        <v>0.03746</v>
      </c>
      <c r="F720" s="2">
        <f t="shared" si="44"/>
        <v>0.000144076923076923</v>
      </c>
      <c r="G720" s="2">
        <f t="shared" si="47"/>
        <v>-0.031925326791183</v>
      </c>
    </row>
    <row r="721" spans="1:7">
      <c r="A721" t="s">
        <v>456</v>
      </c>
      <c r="B721" s="22">
        <v>48000</v>
      </c>
      <c r="C721" s="2">
        <f t="shared" si="45"/>
        <v>0</v>
      </c>
      <c r="D721" s="2">
        <f t="shared" si="46"/>
        <v>0</v>
      </c>
      <c r="E721" s="23">
        <v>0.03758</v>
      </c>
      <c r="F721" s="2">
        <f t="shared" si="44"/>
        <v>0.000144538461538462</v>
      </c>
      <c r="G721" s="2">
        <f t="shared" si="47"/>
        <v>-0.000144538461538462</v>
      </c>
    </row>
    <row r="722" spans="1:7">
      <c r="A722" t="s">
        <v>457</v>
      </c>
      <c r="B722" s="22">
        <v>48400</v>
      </c>
      <c r="C722" s="2">
        <f t="shared" si="45"/>
        <v>0.00833333333333333</v>
      </c>
      <c r="D722" s="2">
        <f t="shared" si="46"/>
        <v>0.00829880281469506</v>
      </c>
      <c r="E722" s="23">
        <v>0.03781</v>
      </c>
      <c r="F722" s="2">
        <f t="shared" si="44"/>
        <v>0.000145423076923077</v>
      </c>
      <c r="G722" s="2">
        <f t="shared" si="47"/>
        <v>0.00815337973777199</v>
      </c>
    </row>
    <row r="723" spans="1:7">
      <c r="A723" t="s">
        <v>458</v>
      </c>
      <c r="B723" s="22">
        <v>49000</v>
      </c>
      <c r="C723" s="2">
        <f t="shared" si="45"/>
        <v>0.012396694214876</v>
      </c>
      <c r="D723" s="2">
        <f t="shared" si="46"/>
        <v>0.0123204843880407</v>
      </c>
      <c r="E723" s="23">
        <v>0.03705</v>
      </c>
      <c r="F723" s="2">
        <f t="shared" si="44"/>
        <v>0.0001425</v>
      </c>
      <c r="G723" s="2">
        <f t="shared" si="47"/>
        <v>0.0121779843880407</v>
      </c>
    </row>
    <row r="724" spans="1:7">
      <c r="A724" t="s">
        <v>459</v>
      </c>
      <c r="B724" s="22">
        <v>48000</v>
      </c>
      <c r="C724" s="2">
        <f t="shared" si="45"/>
        <v>-0.0204081632653061</v>
      </c>
      <c r="D724" s="2">
        <f t="shared" si="46"/>
        <v>-0.0206192872027357</v>
      </c>
      <c r="E724" s="23">
        <v>0.03873</v>
      </c>
      <c r="F724" s="2">
        <f t="shared" si="44"/>
        <v>0.000148961538461538</v>
      </c>
      <c r="G724" s="2">
        <f t="shared" si="47"/>
        <v>-0.0207682487411972</v>
      </c>
    </row>
    <row r="725" spans="1:7">
      <c r="A725" t="s">
        <v>460</v>
      </c>
      <c r="B725" s="22">
        <v>47650</v>
      </c>
      <c r="C725" s="2">
        <f t="shared" si="45"/>
        <v>-0.00729166666666667</v>
      </c>
      <c r="D725" s="2">
        <f t="shared" si="46"/>
        <v>-0.00731838080767984</v>
      </c>
      <c r="E725" s="23">
        <v>0.03914</v>
      </c>
      <c r="F725" s="2">
        <f t="shared" si="44"/>
        <v>0.000150538461538462</v>
      </c>
      <c r="G725" s="2">
        <f t="shared" si="47"/>
        <v>-0.0074689192692183</v>
      </c>
    </row>
    <row r="726" spans="1:7">
      <c r="A726" t="s">
        <v>461</v>
      </c>
      <c r="B726" s="22">
        <v>45400</v>
      </c>
      <c r="C726" s="2">
        <f t="shared" si="45"/>
        <v>-0.0472193074501574</v>
      </c>
      <c r="D726" s="2">
        <f t="shared" si="46"/>
        <v>-0.0483705250529088</v>
      </c>
      <c r="E726" s="23">
        <v>0.03988</v>
      </c>
      <c r="F726" s="2">
        <f t="shared" si="44"/>
        <v>0.000153384615384615</v>
      </c>
      <c r="G726" s="2">
        <f t="shared" si="47"/>
        <v>-0.0485239096682934</v>
      </c>
    </row>
    <row r="727" spans="1:7">
      <c r="A727" t="s">
        <v>462</v>
      </c>
      <c r="B727" s="22">
        <v>42550</v>
      </c>
      <c r="C727" s="2">
        <f t="shared" si="45"/>
        <v>-0.0627753303964758</v>
      </c>
      <c r="D727" s="2">
        <f t="shared" si="46"/>
        <v>-0.0648322500279191</v>
      </c>
      <c r="E727" s="23">
        <v>0.0403</v>
      </c>
      <c r="F727" s="2">
        <f t="shared" si="44"/>
        <v>0.000155</v>
      </c>
      <c r="G727" s="2">
        <f t="shared" si="47"/>
        <v>-0.0649872500279191</v>
      </c>
    </row>
    <row r="728" spans="1:7">
      <c r="A728" t="s">
        <v>463</v>
      </c>
      <c r="B728" s="22">
        <v>43350</v>
      </c>
      <c r="C728" s="2">
        <f t="shared" si="45"/>
        <v>0.0188014101057579</v>
      </c>
      <c r="D728" s="2">
        <f t="shared" si="46"/>
        <v>0.0186268482071677</v>
      </c>
      <c r="E728" s="23">
        <v>0.04098</v>
      </c>
      <c r="F728" s="2">
        <f t="shared" si="44"/>
        <v>0.000157615384615385</v>
      </c>
      <c r="G728" s="2">
        <f t="shared" si="47"/>
        <v>0.0184692328225523</v>
      </c>
    </row>
    <row r="729" spans="1:7">
      <c r="A729" t="s">
        <v>464</v>
      </c>
      <c r="B729" s="22">
        <v>44500</v>
      </c>
      <c r="C729" s="2">
        <f t="shared" si="45"/>
        <v>0.0265282583621684</v>
      </c>
      <c r="D729" s="2">
        <f t="shared" si="46"/>
        <v>0.0261824859456437</v>
      </c>
      <c r="E729" s="23">
        <v>0.04103</v>
      </c>
      <c r="F729" s="2">
        <f t="shared" si="44"/>
        <v>0.000157807692307692</v>
      </c>
      <c r="G729" s="2">
        <f t="shared" si="47"/>
        <v>0.026024678253336</v>
      </c>
    </row>
    <row r="730" spans="1:7">
      <c r="A730" t="s">
        <v>465</v>
      </c>
      <c r="B730" s="22">
        <v>46000</v>
      </c>
      <c r="C730" s="2">
        <f t="shared" si="45"/>
        <v>0.0337078651685393</v>
      </c>
      <c r="D730" s="2">
        <f t="shared" si="46"/>
        <v>0.0331522073169006</v>
      </c>
      <c r="E730" s="23">
        <v>0.04273</v>
      </c>
      <c r="F730" s="2">
        <f t="shared" si="44"/>
        <v>0.000164346153846154</v>
      </c>
      <c r="G730" s="2">
        <f t="shared" si="47"/>
        <v>0.0329878611630544</v>
      </c>
    </row>
    <row r="731" spans="1:7">
      <c r="A731" t="s">
        <v>466</v>
      </c>
      <c r="B731" s="22">
        <v>44750</v>
      </c>
      <c r="C731" s="2">
        <f t="shared" si="45"/>
        <v>-0.0271739130434783</v>
      </c>
      <c r="D731" s="2">
        <f t="shared" si="46"/>
        <v>-0.0275499517682306</v>
      </c>
      <c r="E731" s="23">
        <v>0.04304</v>
      </c>
      <c r="F731" s="2">
        <f t="shared" si="44"/>
        <v>0.000165538461538462</v>
      </c>
      <c r="G731" s="2">
        <f t="shared" si="47"/>
        <v>-0.0277154902297691</v>
      </c>
    </row>
    <row r="732" spans="1:7">
      <c r="A732" t="s">
        <v>467</v>
      </c>
      <c r="B732" s="22">
        <v>44750</v>
      </c>
      <c r="C732" s="2">
        <f t="shared" si="45"/>
        <v>0</v>
      </c>
      <c r="D732" s="2">
        <f t="shared" si="46"/>
        <v>0</v>
      </c>
      <c r="E732" s="23">
        <v>0.0436</v>
      </c>
      <c r="F732" s="2">
        <f t="shared" si="44"/>
        <v>0.000167692307692308</v>
      </c>
      <c r="G732" s="2">
        <f t="shared" si="47"/>
        <v>-0.000167692307692308</v>
      </c>
    </row>
    <row r="733" spans="1:7">
      <c r="A733" s="21">
        <v>45202</v>
      </c>
      <c r="B733" s="22">
        <v>42850</v>
      </c>
      <c r="C733" s="2">
        <f t="shared" si="45"/>
        <v>-0.0424581005586592</v>
      </c>
      <c r="D733" s="2">
        <f t="shared" si="46"/>
        <v>-0.0433857996770755</v>
      </c>
      <c r="E733" s="23">
        <v>0.04465</v>
      </c>
      <c r="F733" s="2">
        <f t="shared" si="44"/>
        <v>0.000171730769230769</v>
      </c>
      <c r="G733" s="2">
        <f t="shared" si="47"/>
        <v>-0.0435575304463063</v>
      </c>
    </row>
    <row r="734" spans="1:7">
      <c r="A734" s="21">
        <v>45172</v>
      </c>
      <c r="B734" s="22">
        <v>42400</v>
      </c>
      <c r="C734" s="2">
        <f t="shared" si="45"/>
        <v>-0.0105017502917153</v>
      </c>
      <c r="D734" s="2">
        <f t="shared" si="46"/>
        <v>-0.0105572828058767</v>
      </c>
      <c r="E734" s="23">
        <v>0.04519</v>
      </c>
      <c r="F734" s="2">
        <f t="shared" si="44"/>
        <v>0.000173807692307692</v>
      </c>
      <c r="G734" s="2">
        <f t="shared" si="47"/>
        <v>-0.0107310904981844</v>
      </c>
    </row>
    <row r="735" spans="1:7">
      <c r="A735" s="21">
        <v>45141</v>
      </c>
      <c r="B735" s="22">
        <v>42350</v>
      </c>
      <c r="C735" s="2">
        <f t="shared" si="45"/>
        <v>-0.00117924528301887</v>
      </c>
      <c r="D735" s="2">
        <f t="shared" si="46"/>
        <v>-0.00117994113984864</v>
      </c>
      <c r="E735" s="23">
        <v>0.04578</v>
      </c>
      <c r="F735" s="2">
        <f t="shared" si="44"/>
        <v>0.000176076923076923</v>
      </c>
      <c r="G735" s="2">
        <f t="shared" si="47"/>
        <v>-0.00135601806292556</v>
      </c>
    </row>
    <row r="736" spans="1:7">
      <c r="A736" s="21">
        <v>45110</v>
      </c>
      <c r="B736" s="22">
        <v>42300</v>
      </c>
      <c r="C736" s="2">
        <f t="shared" si="45"/>
        <v>-0.00118063754427391</v>
      </c>
      <c r="D736" s="2">
        <f t="shared" si="46"/>
        <v>-0.00118133504583109</v>
      </c>
      <c r="E736" s="23">
        <v>0.04551</v>
      </c>
      <c r="F736" s="2">
        <f t="shared" si="44"/>
        <v>0.000175038461538462</v>
      </c>
      <c r="G736" s="2">
        <f t="shared" si="47"/>
        <v>-0.00135637350736956</v>
      </c>
    </row>
    <row r="737" spans="1:7">
      <c r="A737" s="21">
        <v>45080</v>
      </c>
      <c r="B737" s="22">
        <v>42100</v>
      </c>
      <c r="C737" s="2">
        <f t="shared" si="45"/>
        <v>-0.00472813238770686</v>
      </c>
      <c r="D737" s="2">
        <f t="shared" si="46"/>
        <v>-0.00473934536389656</v>
      </c>
      <c r="E737" s="23">
        <v>0.04585</v>
      </c>
      <c r="F737" s="2">
        <f t="shared" si="44"/>
        <v>0.000176346153846154</v>
      </c>
      <c r="G737" s="2">
        <f t="shared" si="47"/>
        <v>-0.00491569151774271</v>
      </c>
    </row>
    <row r="738" spans="1:7">
      <c r="A738" s="21">
        <v>44988</v>
      </c>
      <c r="B738" s="22">
        <v>40950</v>
      </c>
      <c r="C738" s="2">
        <f t="shared" si="45"/>
        <v>-0.0273159144893112</v>
      </c>
      <c r="D738" s="2">
        <f t="shared" si="46"/>
        <v>-0.0276959303892573</v>
      </c>
      <c r="E738" s="23">
        <v>0.04595</v>
      </c>
      <c r="F738" s="2">
        <f t="shared" si="44"/>
        <v>0.000176730769230769</v>
      </c>
      <c r="G738" s="2">
        <f t="shared" si="47"/>
        <v>-0.0278726611584881</v>
      </c>
    </row>
    <row r="739" spans="1:7">
      <c r="A739" s="21">
        <v>44960</v>
      </c>
      <c r="B739" s="22">
        <v>41100</v>
      </c>
      <c r="C739" s="2">
        <f t="shared" si="45"/>
        <v>0.00366300366300366</v>
      </c>
      <c r="D739" s="2">
        <f t="shared" si="46"/>
        <v>0.00365631120311048</v>
      </c>
      <c r="E739" s="23">
        <v>0.0459</v>
      </c>
      <c r="F739" s="2">
        <f t="shared" si="44"/>
        <v>0.000176538461538462</v>
      </c>
      <c r="G739" s="2">
        <f t="shared" si="47"/>
        <v>0.00347977274157202</v>
      </c>
    </row>
    <row r="740" spans="1:7">
      <c r="A740" s="21">
        <v>44929</v>
      </c>
      <c r="B740" s="22">
        <v>41200</v>
      </c>
      <c r="C740" s="2">
        <f t="shared" si="45"/>
        <v>0.0024330900243309</v>
      </c>
      <c r="D740" s="2">
        <f t="shared" si="46"/>
        <v>0.00243013485329189</v>
      </c>
      <c r="E740" s="23">
        <v>0.04537</v>
      </c>
      <c r="F740" s="2">
        <f t="shared" si="44"/>
        <v>0.0001745</v>
      </c>
      <c r="G740" s="2">
        <f t="shared" si="47"/>
        <v>0.00225563485329189</v>
      </c>
    </row>
    <row r="741" spans="1:7">
      <c r="A741" t="s">
        <v>468</v>
      </c>
      <c r="B741" s="22">
        <v>41500</v>
      </c>
      <c r="C741" s="2">
        <f t="shared" si="45"/>
        <v>0.00728155339805825</v>
      </c>
      <c r="D741" s="2">
        <f t="shared" si="46"/>
        <v>0.00725517088117202</v>
      </c>
      <c r="E741" s="23">
        <v>0.04532</v>
      </c>
      <c r="F741" s="2">
        <f t="shared" si="44"/>
        <v>0.000174307692307692</v>
      </c>
      <c r="G741" s="2">
        <f t="shared" si="47"/>
        <v>0.00708086318886432</v>
      </c>
    </row>
    <row r="742" spans="1:7">
      <c r="A742" t="s">
        <v>469</v>
      </c>
      <c r="B742" s="22">
        <v>40900</v>
      </c>
      <c r="C742" s="2">
        <f t="shared" si="45"/>
        <v>-0.0144578313253012</v>
      </c>
      <c r="D742" s="2">
        <f t="shared" si="46"/>
        <v>-0.0145633641878966</v>
      </c>
      <c r="E742" s="23">
        <v>0.04545</v>
      </c>
      <c r="F742" s="2">
        <f t="shared" si="44"/>
        <v>0.000174807692307692</v>
      </c>
      <c r="G742" s="2">
        <f t="shared" si="47"/>
        <v>-0.0147381718802042</v>
      </c>
    </row>
    <row r="743" spans="1:7">
      <c r="A743" t="s">
        <v>470</v>
      </c>
      <c r="B743" s="22">
        <v>41000</v>
      </c>
      <c r="C743" s="2">
        <f t="shared" si="45"/>
        <v>0.00244498777506112</v>
      </c>
      <c r="D743" s="2">
        <f t="shared" si="46"/>
        <v>0.00244200365555181</v>
      </c>
      <c r="E743" s="23">
        <v>0.04577</v>
      </c>
      <c r="F743" s="2">
        <f t="shared" si="44"/>
        <v>0.000176038461538462</v>
      </c>
      <c r="G743" s="2">
        <f t="shared" si="47"/>
        <v>0.00226596519401335</v>
      </c>
    </row>
    <row r="744" spans="1:7">
      <c r="A744" t="s">
        <v>471</v>
      </c>
      <c r="B744" s="22">
        <v>42000</v>
      </c>
      <c r="C744" s="2">
        <f t="shared" si="45"/>
        <v>0.024390243902439</v>
      </c>
      <c r="D744" s="2">
        <f t="shared" si="46"/>
        <v>0.0240975515790605</v>
      </c>
      <c r="E744" s="23">
        <v>0.04556</v>
      </c>
      <c r="F744" s="2">
        <f t="shared" si="44"/>
        <v>0.000175230769230769</v>
      </c>
      <c r="G744" s="2">
        <f t="shared" si="47"/>
        <v>0.0239223208098298</v>
      </c>
    </row>
    <row r="745" spans="1:7">
      <c r="A745" t="s">
        <v>472</v>
      </c>
      <c r="B745" s="22">
        <v>42600</v>
      </c>
      <c r="C745" s="2">
        <f t="shared" si="45"/>
        <v>0.0142857142857143</v>
      </c>
      <c r="D745" s="2">
        <f t="shared" si="46"/>
        <v>0.0141846349919564</v>
      </c>
      <c r="E745" s="23">
        <v>0.04529</v>
      </c>
      <c r="F745" s="2">
        <f t="shared" si="44"/>
        <v>0.000174192307692308</v>
      </c>
      <c r="G745" s="2">
        <f t="shared" si="47"/>
        <v>0.0140104426842641</v>
      </c>
    </row>
    <row r="746" spans="1:7">
      <c r="A746" t="s">
        <v>473</v>
      </c>
      <c r="B746" s="22">
        <v>45200</v>
      </c>
      <c r="C746" s="2">
        <f t="shared" si="45"/>
        <v>0.0610328638497653</v>
      </c>
      <c r="D746" s="2">
        <f t="shared" si="46"/>
        <v>0.0592428335628608</v>
      </c>
      <c r="E746" s="23">
        <v>0.04446</v>
      </c>
      <c r="F746" s="2">
        <f t="shared" si="44"/>
        <v>0.000171</v>
      </c>
      <c r="G746" s="2">
        <f t="shared" si="47"/>
        <v>0.0590718335628608</v>
      </c>
    </row>
    <row r="747" spans="1:7">
      <c r="A747" t="s">
        <v>474</v>
      </c>
      <c r="B747" s="22">
        <v>45200</v>
      </c>
      <c r="C747" s="2">
        <f t="shared" si="45"/>
        <v>0</v>
      </c>
      <c r="D747" s="2">
        <f t="shared" si="46"/>
        <v>0</v>
      </c>
      <c r="E747" s="23">
        <v>0.04375</v>
      </c>
      <c r="F747" s="2">
        <f t="shared" si="44"/>
        <v>0.000168269230769231</v>
      </c>
      <c r="G747" s="2">
        <f t="shared" si="47"/>
        <v>-0.000168269230769231</v>
      </c>
    </row>
    <row r="748" spans="1:7">
      <c r="A748" t="s">
        <v>475</v>
      </c>
      <c r="B748" s="22">
        <v>43300</v>
      </c>
      <c r="C748" s="2">
        <f t="shared" si="45"/>
        <v>-0.0420353982300885</v>
      </c>
      <c r="D748" s="2">
        <f t="shared" si="46"/>
        <v>-0.0429444518297414</v>
      </c>
      <c r="E748" s="23">
        <v>0.04347</v>
      </c>
      <c r="F748" s="2">
        <f t="shared" si="44"/>
        <v>0.000167192307692308</v>
      </c>
      <c r="G748" s="2">
        <f t="shared" si="47"/>
        <v>-0.0431116441374337</v>
      </c>
    </row>
    <row r="749" spans="1:7">
      <c r="A749" t="s">
        <v>476</v>
      </c>
      <c r="B749" s="22">
        <v>42500</v>
      </c>
      <c r="C749" s="2">
        <f t="shared" si="45"/>
        <v>-0.0184757505773672</v>
      </c>
      <c r="D749" s="2">
        <f t="shared" si="46"/>
        <v>-0.018648559078073</v>
      </c>
      <c r="E749" s="23">
        <v>0.04311</v>
      </c>
      <c r="F749" s="2">
        <f t="shared" si="44"/>
        <v>0.000165807692307692</v>
      </c>
      <c r="G749" s="2">
        <f t="shared" si="47"/>
        <v>-0.0188143667703807</v>
      </c>
    </row>
    <row r="750" spans="1:7">
      <c r="A750" t="s">
        <v>477</v>
      </c>
      <c r="B750" s="22">
        <v>42500</v>
      </c>
      <c r="C750" s="2">
        <f t="shared" si="45"/>
        <v>0</v>
      </c>
      <c r="D750" s="2">
        <f t="shared" si="46"/>
        <v>0</v>
      </c>
      <c r="E750" s="23">
        <v>0.04251</v>
      </c>
      <c r="F750" s="2">
        <f t="shared" si="44"/>
        <v>0.0001635</v>
      </c>
      <c r="G750" s="2">
        <f t="shared" si="47"/>
        <v>-0.0001635</v>
      </c>
    </row>
    <row r="751" spans="1:7">
      <c r="A751" t="s">
        <v>478</v>
      </c>
      <c r="B751" s="22">
        <v>42750</v>
      </c>
      <c r="C751" s="2">
        <f t="shared" si="45"/>
        <v>0.00588235294117647</v>
      </c>
      <c r="D751" s="2">
        <f t="shared" si="46"/>
        <v>0.00586511945239806</v>
      </c>
      <c r="E751" s="23">
        <v>0.04205</v>
      </c>
      <c r="F751" s="2">
        <f t="shared" si="44"/>
        <v>0.000161730769230769</v>
      </c>
      <c r="G751" s="2">
        <f t="shared" si="47"/>
        <v>0.00570338868316729</v>
      </c>
    </row>
    <row r="752" spans="1:7">
      <c r="A752" t="s">
        <v>479</v>
      </c>
      <c r="B752" s="22">
        <v>44400</v>
      </c>
      <c r="C752" s="2">
        <f t="shared" si="45"/>
        <v>0.0385964912280702</v>
      </c>
      <c r="D752" s="2">
        <f t="shared" si="46"/>
        <v>0.0378702740554097</v>
      </c>
      <c r="E752" s="23">
        <v>0.04251</v>
      </c>
      <c r="F752" s="2">
        <f t="shared" si="44"/>
        <v>0.0001635</v>
      </c>
      <c r="G752" s="2">
        <f t="shared" si="47"/>
        <v>0.0377067740554098</v>
      </c>
    </row>
    <row r="753" spans="1:7">
      <c r="A753" s="21">
        <v>45201</v>
      </c>
      <c r="B753" s="22">
        <v>45400</v>
      </c>
      <c r="C753" s="2">
        <f t="shared" si="45"/>
        <v>0.0225225225225225</v>
      </c>
      <c r="D753" s="2">
        <f t="shared" si="46"/>
        <v>0.0222726356091232</v>
      </c>
      <c r="E753" s="23">
        <v>0.04254</v>
      </c>
      <c r="F753" s="2">
        <f t="shared" si="44"/>
        <v>0.000163615384615385</v>
      </c>
      <c r="G753" s="2">
        <f t="shared" si="47"/>
        <v>0.0221090202245078</v>
      </c>
    </row>
    <row r="755" spans="1:7">
      <c r="A755" t="s">
        <v>480</v>
      </c>
      <c r="C755" s="24">
        <f>AVERAGE(C3:C753)</f>
        <v>-0.000779218391435116</v>
      </c>
      <c r="D755" s="24">
        <f>AVERAGE(D3:D753)</f>
        <v>-0.00106867417604172</v>
      </c>
      <c r="E755" s="23">
        <f>AVERAGE(E2:E753)</f>
        <v>0.0315795212765958</v>
      </c>
      <c r="F755" s="24">
        <f>AVERAGE(F2:F753)</f>
        <v>0.000121459697217676</v>
      </c>
      <c r="G755" s="2">
        <f>AVERAGE(G3:G753)</f>
        <v>-0.00119007815022998</v>
      </c>
    </row>
    <row r="756" spans="1:7">
      <c r="A756" s="25" t="s">
        <v>481</v>
      </c>
      <c r="D756" s="2">
        <f>_xlfn.STDEV.P(D3:D753)</f>
        <v>0.0240420218625364</v>
      </c>
    </row>
    <row r="757" spans="1:7">
      <c r="A757" s="25" t="s">
        <v>482</v>
      </c>
      <c r="D757">
        <f>G755/D756</f>
        <v>-0.049499919642134</v>
      </c>
    </row>
    <row r="758" spans="1:7">
      <c r="A758" s="25" t="s">
        <v>483</v>
      </c>
      <c r="D758">
        <f>D757*SQRT(260)</f>
        <v>-0.798162221349901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7"/>
  <sheetViews>
    <sheetView tabSelected="1" workbookViewId="0">
      <selection activeCell="G15" sqref="G15"/>
    </sheetView>
  </sheetViews>
  <sheetFormatPr defaultColWidth="8.72727272727273" defaultRowHeight="14.5"/>
  <cols>
    <col min="5" max="5" width="16.6363636363636" customWidth="1"/>
    <col min="6" max="6" width="17.2727272727273" customWidth="1"/>
    <col min="8" max="8" width="14"/>
    <col min="9" max="9" width="18.1818181818182" customWidth="1"/>
  </cols>
  <sheetData>
    <row r="1" spans="1:9">
      <c r="A1" t="s">
        <v>6</v>
      </c>
      <c r="B1" t="s">
        <v>8</v>
      </c>
      <c r="D1" s="1" t="s">
        <v>485</v>
      </c>
      <c r="E1" t="s">
        <v>6</v>
      </c>
      <c r="F1" t="s">
        <v>8</v>
      </c>
      <c r="H1" t="s">
        <v>486</v>
      </c>
      <c r="I1" t="s">
        <v>487</v>
      </c>
    </row>
    <row r="2" spans="1:9">
      <c r="A2" s="2">
        <v>-0.0642095196540969</v>
      </c>
      <c r="B2" s="2">
        <v>0.0173917427118692</v>
      </c>
      <c r="E2">
        <f ca="1">_xlfn.COVARIANCE.S(INDIRECT(E$1),INDIRECT($G2))</f>
        <v>0.000578789506992331</v>
      </c>
      <c r="F2" s="4">
        <f ca="1">_xlfn.COVARIANCE.S(INDIRECT(F$1),INDIRECT($G2))</f>
        <v>4.77366918953809e-5</v>
      </c>
      <c r="G2" t="s">
        <v>6</v>
      </c>
      <c r="H2" s="5">
        <f ca="1">AVERAGE(INDIRECT(G2))</f>
        <v>-0.00106867417604172</v>
      </c>
      <c r="I2" s="6">
        <f ca="1" t="shared" ref="I2:I6" si="0">H2*260</f>
        <v>-0.277855285770848</v>
      </c>
    </row>
    <row r="3" spans="1:9">
      <c r="A3" s="2">
        <v>0.0259754864032607</v>
      </c>
      <c r="B3" s="2">
        <v>-0.00720983656674976</v>
      </c>
      <c r="E3" s="4">
        <f ca="1">_xlfn.COVARIANCE.S(INDIRECT(E$1),INDIRECT($G3))</f>
        <v>4.77366918953809e-5</v>
      </c>
      <c r="F3">
        <f ca="1">_xlfn.COVARIANCE.S(INDIRECT(F$1),INDIRECT($G3))</f>
        <v>0.000204681077127326</v>
      </c>
      <c r="G3" t="s">
        <v>8</v>
      </c>
      <c r="H3" s="5">
        <f ca="1">AVERAGE(INDIRECT(G3))</f>
        <v>1.21310527127814e-5</v>
      </c>
      <c r="I3" s="7">
        <f ca="1" t="shared" si="0"/>
        <v>0.00315407370532318</v>
      </c>
    </row>
    <row r="4" spans="1:9">
      <c r="A4" s="2">
        <v>0.00102511541524535</v>
      </c>
      <c r="B4" s="2">
        <v>0</v>
      </c>
    </row>
    <row r="5" spans="1:9">
      <c r="A5" s="2">
        <v>-0.066726705818124</v>
      </c>
      <c r="B5" s="2">
        <v>0.0411113882424311</v>
      </c>
      <c r="D5" s="8"/>
      <c r="E5" s="9" t="s">
        <v>488</v>
      </c>
      <c r="F5" s="10"/>
      <c r="G5" s="8"/>
      <c r="H5" s="11" t="s">
        <v>489</v>
      </c>
      <c r="I5" s="11" t="s">
        <v>490</v>
      </c>
    </row>
    <row r="6" spans="1:9">
      <c r="A6" s="2">
        <v>0.0636482015910366</v>
      </c>
      <c r="B6" s="2">
        <v>-0.00557104504945536</v>
      </c>
      <c r="D6" s="12" t="s">
        <v>6</v>
      </c>
      <c r="E6" s="13">
        <v>0.488</v>
      </c>
      <c r="F6" s="10"/>
      <c r="G6" s="8" t="s">
        <v>491</v>
      </c>
      <c r="H6" s="14" cm="1">
        <f ca="1" t="array" ref="H6">SUMPRODUCT(H2:H3,E6:E7)</f>
        <v>-0.000515301898919416</v>
      </c>
      <c r="I6" s="14">
        <f ca="1" t="shared" si="0"/>
        <v>-0.133978493719048</v>
      </c>
    </row>
    <row r="7" spans="1:9">
      <c r="A7" s="2">
        <v>0.0132722724166304</v>
      </c>
      <c r="B7" s="2">
        <v>0.0138698478641504</v>
      </c>
      <c r="D7" s="12" t="s">
        <v>8</v>
      </c>
      <c r="E7" s="13">
        <v>0.512</v>
      </c>
      <c r="F7" s="10"/>
      <c r="G7" s="8" t="s">
        <v>492</v>
      </c>
      <c r="H7" s="15" cm="1">
        <f ca="1" t="array" ref="H7">MMULT(TRANSPOSE(E6:E7),MMULT(E2:F3,E6:E7))</f>
        <v>0.000215345762416072</v>
      </c>
      <c r="I7" s="14"/>
    </row>
    <row r="8" spans="1:9">
      <c r="A8" s="2">
        <v>0.0723678325034773</v>
      </c>
      <c r="B8" s="2">
        <v>-0.027934777331554</v>
      </c>
      <c r="D8" s="8" t="s">
        <v>493</v>
      </c>
      <c r="E8" s="16">
        <v>1</v>
      </c>
      <c r="F8" s="10"/>
      <c r="G8" s="8" t="s">
        <v>494</v>
      </c>
      <c r="H8" s="14">
        <f ca="1">SQRT(H7)</f>
        <v>0.0146746639626287</v>
      </c>
      <c r="I8" s="14">
        <f ca="1">H8*SQRT(260)</f>
        <v>0.236621846472761</v>
      </c>
    </row>
    <row r="9" spans="1:9">
      <c r="A9" s="2">
        <v>0.00938974034983914</v>
      </c>
      <c r="B9" s="2">
        <v>0.00705719230999876</v>
      </c>
      <c r="D9" s="10"/>
      <c r="E9" s="10"/>
      <c r="F9" s="10"/>
      <c r="G9" s="10"/>
      <c r="H9" s="10"/>
      <c r="I9" s="10"/>
    </row>
    <row r="10" spans="1:9">
      <c r="A10" s="2">
        <v>-0.0255574724551794</v>
      </c>
      <c r="B10" s="2">
        <v>-0.0490011568909659</v>
      </c>
      <c r="D10" s="10"/>
      <c r="E10" s="10"/>
      <c r="F10" s="10"/>
      <c r="G10" s="8" t="s">
        <v>495</v>
      </c>
      <c r="H10" s="17">
        <v>0.0316</v>
      </c>
      <c r="I10" s="10"/>
    </row>
    <row r="11" spans="1:9">
      <c r="A11" s="2">
        <v>0.0586487270815077</v>
      </c>
      <c r="B11" s="2">
        <v>0</v>
      </c>
      <c r="D11" s="10"/>
      <c r="E11" s="10"/>
      <c r="F11" s="10"/>
      <c r="G11" s="10"/>
      <c r="H11" s="10"/>
      <c r="I11" s="10"/>
    </row>
    <row r="12" spans="1:9">
      <c r="A12" s="2">
        <v>0.0723627146085018</v>
      </c>
      <c r="B12" s="2">
        <v>0.0175699981013835</v>
      </c>
      <c r="D12" s="10"/>
      <c r="E12" s="10"/>
      <c r="F12" s="10"/>
      <c r="G12" s="8" t="s">
        <v>496</v>
      </c>
      <c r="H12" s="10"/>
      <c r="I12" s="10"/>
    </row>
    <row r="13" spans="1:9">
      <c r="A13" s="2">
        <v>0.0298282262880455</v>
      </c>
      <c r="B13" s="2">
        <v>-0.024982930490509</v>
      </c>
      <c r="D13" s="10"/>
      <c r="E13" s="10"/>
      <c r="F13" s="10"/>
      <c r="G13" s="18" t="s">
        <v>497</v>
      </c>
      <c r="H13" s="19">
        <f ca="1">(I6-H10)/I8</f>
        <v>-0.699759959561084</v>
      </c>
      <c r="I13" s="10"/>
    </row>
    <row r="14" spans="1:9">
      <c r="A14" s="2">
        <v>-0.016461277054072</v>
      </c>
      <c r="B14" s="2">
        <v>0.0535971860089779</v>
      </c>
    </row>
    <row r="15" spans="1:9">
      <c r="A15" s="2">
        <v>0.0197212636412794</v>
      </c>
      <c r="B15" s="2">
        <v>-0.00849863472146258</v>
      </c>
    </row>
    <row r="16" spans="1:9">
      <c r="A16" s="2">
        <v>0.000813338800428281</v>
      </c>
      <c r="B16" s="2">
        <v>0.0431521368038507</v>
      </c>
    </row>
    <row r="17" spans="1:2">
      <c r="A17" s="2">
        <v>0.0161293819298837</v>
      </c>
      <c r="B17" s="2">
        <v>-0.0388937911212735</v>
      </c>
    </row>
    <row r="18" spans="1:2">
      <c r="A18" s="2">
        <v>-0.00722604509173958</v>
      </c>
      <c r="B18" s="2">
        <v>-0.0142655771588225</v>
      </c>
    </row>
    <row r="19" spans="1:2">
      <c r="A19" s="2">
        <v>-0.0335959494285155</v>
      </c>
      <c r="B19" s="2">
        <v>0.0199153097009415</v>
      </c>
    </row>
    <row r="20" spans="1:2">
      <c r="A20" s="2">
        <v>0.0511682865743994</v>
      </c>
      <c r="B20" s="2">
        <v>-0.0475936971230862</v>
      </c>
    </row>
    <row r="21" spans="1:2">
      <c r="A21" s="2">
        <v>0.059179770594466</v>
      </c>
      <c r="B21" s="2">
        <v>-0.0672008507680988</v>
      </c>
    </row>
    <row r="22" spans="1:2">
      <c r="A22" s="2">
        <v>-0.0287680701764425</v>
      </c>
      <c r="B22" s="2">
        <v>-0.00952388151125548</v>
      </c>
    </row>
    <row r="23" spans="1:2">
      <c r="A23" s="2">
        <v>0.0725706928348354</v>
      </c>
      <c r="B23" s="2">
        <v>-0.0274875834655638</v>
      </c>
    </row>
    <row r="24" spans="1:2">
      <c r="A24" s="2">
        <v>-0.00644932367990709</v>
      </c>
      <c r="B24" s="2">
        <v>0.0194811355718225</v>
      </c>
    </row>
    <row r="25" spans="1:2">
      <c r="A25" s="2">
        <v>0.0721032939013439</v>
      </c>
      <c r="B25" s="2">
        <v>-0.0211218250292824</v>
      </c>
    </row>
    <row r="26" spans="1:2">
      <c r="A26" s="2">
        <v>-0.052878778732714</v>
      </c>
      <c r="B26" s="2">
        <v>-0.00164338574373001</v>
      </c>
    </row>
    <row r="27" spans="1:2">
      <c r="A27" s="2">
        <v>-0.067080536346265</v>
      </c>
      <c r="B27" s="2">
        <v>-0.00825768523898158</v>
      </c>
    </row>
    <row r="28" spans="1:2">
      <c r="A28" s="2">
        <v>-0.0670555121467253</v>
      </c>
      <c r="B28" s="2">
        <v>0.0148150857851407</v>
      </c>
    </row>
    <row r="29" spans="1:2">
      <c r="A29" s="2">
        <v>-0.0538432320208232</v>
      </c>
      <c r="B29" s="2">
        <v>0.00975617494536466</v>
      </c>
    </row>
    <row r="30" spans="1:2">
      <c r="A30" s="2">
        <v>0.00170068068201747</v>
      </c>
      <c r="B30" s="2">
        <v>0.00484262447578799</v>
      </c>
    </row>
    <row r="31" spans="1:2">
      <c r="A31" s="2">
        <v>-0.0676586484738148</v>
      </c>
      <c r="B31" s="2">
        <v>-0.00970881412696094</v>
      </c>
    </row>
    <row r="32" spans="1:2">
      <c r="A32" s="2">
        <v>0.0383462050083487</v>
      </c>
      <c r="B32" s="2">
        <v>-0.00325733187030651</v>
      </c>
    </row>
    <row r="33" spans="1:2">
      <c r="A33" s="2">
        <v>0.0717304449122771</v>
      </c>
      <c r="B33" s="2">
        <v>0.0032573318703065</v>
      </c>
    </row>
    <row r="34" spans="1:2">
      <c r="A34" s="2">
        <v>-0.0664948308583321</v>
      </c>
      <c r="B34" s="2">
        <v>0.0177281032935806</v>
      </c>
    </row>
    <row r="35" spans="1:2">
      <c r="A35" s="2">
        <v>-0.0675020027799457</v>
      </c>
      <c r="B35" s="2">
        <v>0.00953902304675891</v>
      </c>
    </row>
    <row r="36" spans="1:2">
      <c r="A36" s="2">
        <v>-0.0565013835929223</v>
      </c>
      <c r="B36" s="2">
        <v>0.0125787822068602</v>
      </c>
    </row>
    <row r="37" spans="1:2">
      <c r="A37" s="2">
        <v>-0.0672350928659598</v>
      </c>
      <c r="B37" s="2">
        <v>-0.00156372197618276</v>
      </c>
    </row>
    <row r="38" spans="1:2">
      <c r="A38" s="2">
        <v>0</v>
      </c>
      <c r="B38" s="2">
        <v>-0.0157731976770943</v>
      </c>
    </row>
    <row r="39" spans="1:2">
      <c r="A39" s="2">
        <v>0.00105318598465864</v>
      </c>
      <c r="B39" s="2">
        <v>0.0204570469895206</v>
      </c>
    </row>
    <row r="40" spans="1:2">
      <c r="A40" s="2">
        <v>-0.0266682470821613</v>
      </c>
      <c r="B40" s="2">
        <v>-0.0348688256508239</v>
      </c>
    </row>
    <row r="41" spans="1:2">
      <c r="A41" s="2">
        <v>0.0171494020729545</v>
      </c>
      <c r="B41" s="2">
        <v>-0.0294620327303162</v>
      </c>
    </row>
    <row r="42" spans="1:2">
      <c r="A42" s="2">
        <v>0.0717520794350918</v>
      </c>
      <c r="B42" s="2">
        <v>0.0213648224976968</v>
      </c>
    </row>
    <row r="43" spans="1:2">
      <c r="A43" s="2">
        <v>0.023461486678998</v>
      </c>
      <c r="B43" s="2">
        <v>0.0256835947346954</v>
      </c>
    </row>
    <row r="44" spans="1:2">
      <c r="A44" s="2">
        <v>0.0379192348622937</v>
      </c>
      <c r="B44" s="2">
        <v>-0.00955421280481161</v>
      </c>
    </row>
    <row r="45" spans="1:2">
      <c r="A45" s="2">
        <v>0.0229895182246988</v>
      </c>
      <c r="B45" s="2">
        <v>0.0158733491562902</v>
      </c>
    </row>
    <row r="46" spans="1:2">
      <c r="A46" s="2">
        <v>-0.02765153133051</v>
      </c>
      <c r="B46" s="2">
        <v>-0.00157604445546577</v>
      </c>
    </row>
    <row r="47" spans="1:2">
      <c r="A47" s="2">
        <v>-0.0169655341582967</v>
      </c>
      <c r="B47" s="2">
        <v>0</v>
      </c>
    </row>
    <row r="48" spans="1:2">
      <c r="A48" s="2">
        <v>0.0150946262224849</v>
      </c>
      <c r="B48" s="2">
        <v>0.018750549345376</v>
      </c>
    </row>
    <row r="49" spans="1:2">
      <c r="A49" s="2">
        <v>0</v>
      </c>
      <c r="B49" s="2">
        <v>0.00617285910708102</v>
      </c>
    </row>
    <row r="50" spans="1:2">
      <c r="A50" s="2">
        <v>-0.0103530336499025</v>
      </c>
      <c r="B50" s="2">
        <v>-0.00153964618559275</v>
      </c>
    </row>
    <row r="51" spans="1:2">
      <c r="A51" s="2">
        <v>-0.0268472500361881</v>
      </c>
      <c r="B51" s="2">
        <v>-0.0139645403503724</v>
      </c>
    </row>
    <row r="52" spans="1:2">
      <c r="A52" s="2">
        <v>-0.00389484426154107</v>
      </c>
      <c r="B52" s="2">
        <v>-0.0317486983145803</v>
      </c>
    </row>
    <row r="53" spans="1:2">
      <c r="A53" s="2">
        <v>-0.003910073407843</v>
      </c>
      <c r="B53" s="2">
        <v>0.0128206884290615</v>
      </c>
    </row>
    <row r="54" spans="1:2">
      <c r="A54" s="2">
        <v>0.00488520756604934</v>
      </c>
      <c r="B54" s="2">
        <v>-0.0144348937836026</v>
      </c>
    </row>
    <row r="55" spans="1:2">
      <c r="A55" s="2">
        <v>0.000974184197843414</v>
      </c>
      <c r="B55" s="2">
        <v>0.0176145467009823</v>
      </c>
    </row>
    <row r="56" spans="1:2">
      <c r="A56" s="2">
        <v>-0.0336665458833857</v>
      </c>
      <c r="B56" s="2">
        <v>-0.0504582212701291</v>
      </c>
    </row>
    <row r="57" spans="1:2">
      <c r="A57" s="2">
        <v>-0.0152209940103552</v>
      </c>
      <c r="B57" s="2">
        <v>0.0132671929440489</v>
      </c>
    </row>
    <row r="58" spans="1:2">
      <c r="A58" s="2">
        <v>-0.00924505814405105</v>
      </c>
      <c r="B58" s="2">
        <v>0.00328947665039871</v>
      </c>
    </row>
    <row r="59" spans="1:2">
      <c r="A59" s="2">
        <v>0.00103145960666221</v>
      </c>
      <c r="B59" s="2">
        <v>-0.00328947665039876</v>
      </c>
    </row>
    <row r="60" spans="1:2">
      <c r="A60" s="2">
        <v>-0.020834086902842</v>
      </c>
      <c r="B60" s="2">
        <v>0.0228022908739806</v>
      </c>
    </row>
    <row r="61" spans="1:2">
      <c r="A61" s="2">
        <v>-0.0116465053863236</v>
      </c>
      <c r="B61" s="2">
        <v>0.01120908453472</v>
      </c>
    </row>
    <row r="62" spans="1:2">
      <c r="A62" s="2">
        <v>-0.00641027836091905</v>
      </c>
      <c r="B62" s="2">
        <v>-0.0160517090105079</v>
      </c>
    </row>
    <row r="63" spans="1:2">
      <c r="A63" s="2">
        <v>0.00747467441670575</v>
      </c>
      <c r="B63" s="2">
        <v>-0.032897703507059</v>
      </c>
    </row>
    <row r="64" spans="1:2">
      <c r="A64" s="2">
        <v>-0.0434851119397388</v>
      </c>
      <c r="B64" s="2">
        <v>-0.015164570299045</v>
      </c>
    </row>
    <row r="65" spans="1:2">
      <c r="A65" s="2">
        <v>-0.0350516380589188</v>
      </c>
      <c r="B65" s="2">
        <v>-0.0327898228229908</v>
      </c>
    </row>
    <row r="66" spans="1:2">
      <c r="A66" s="2">
        <v>0.0570305447776941</v>
      </c>
      <c r="B66" s="2">
        <v>0.0104712998672954</v>
      </c>
    </row>
    <row r="67" spans="1:2">
      <c r="A67" s="2">
        <v>0.0723206615796261</v>
      </c>
      <c r="B67" s="2">
        <v>0.00692044284457376</v>
      </c>
    </row>
    <row r="68" spans="1:2">
      <c r="A68" s="2">
        <v>0.00705292596188608</v>
      </c>
      <c r="B68" s="2">
        <v>0</v>
      </c>
    </row>
    <row r="69" spans="1:2">
      <c r="A69" s="2">
        <v>0.00600602406021195</v>
      </c>
      <c r="B69" s="2">
        <v>-0.0121423868257254</v>
      </c>
    </row>
    <row r="70" spans="1:2">
      <c r="A70" s="2">
        <v>-0.0171116404727212</v>
      </c>
      <c r="B70" s="2">
        <v>0</v>
      </c>
    </row>
    <row r="71" spans="1:2">
      <c r="A71" s="2">
        <v>0.00708146611278395</v>
      </c>
      <c r="B71" s="2">
        <v>0.00522194398115162</v>
      </c>
    </row>
    <row r="72" spans="1:2">
      <c r="A72" s="2">
        <v>0.0472528848505455</v>
      </c>
      <c r="B72" s="2">
        <v>-0.00871845103988105</v>
      </c>
    </row>
    <row r="73" spans="1:2">
      <c r="A73" s="2">
        <v>-0.00192492840958439</v>
      </c>
      <c r="B73" s="2">
        <v>0.00698083114134014</v>
      </c>
    </row>
    <row r="74" spans="1:2">
      <c r="A74" s="2">
        <v>0.030362863730118</v>
      </c>
      <c r="B74" s="2">
        <v>-0.00174064447778399</v>
      </c>
    </row>
    <row r="75" spans="1:2">
      <c r="A75" s="2">
        <v>-0.00468384931242631</v>
      </c>
      <c r="B75" s="2">
        <v>-0.00699303549097064</v>
      </c>
    </row>
    <row r="76" spans="1:2">
      <c r="A76" s="2">
        <v>0.0724298378448145</v>
      </c>
      <c r="B76" s="2">
        <v>0.0191143960233155</v>
      </c>
    </row>
    <row r="77" spans="1:2">
      <c r="A77" s="2">
        <v>0.00435730536895563</v>
      </c>
      <c r="B77" s="2">
        <v>-0.0261566786487283</v>
      </c>
    </row>
    <row r="78" spans="1:2">
      <c r="A78" s="2">
        <v>-0.0175443096509095</v>
      </c>
      <c r="B78" s="2">
        <v>-0.00531445006349259</v>
      </c>
    </row>
    <row r="79" spans="1:2">
      <c r="A79" s="2">
        <v>-0.0187589243560192</v>
      </c>
      <c r="B79" s="2">
        <v>0.00354610300675049</v>
      </c>
    </row>
    <row r="80" spans="1:2">
      <c r="A80" s="2">
        <v>-0.0264976672321017</v>
      </c>
      <c r="B80" s="2">
        <v>-0.0269074529199244</v>
      </c>
    </row>
    <row r="81" spans="1:2">
      <c r="A81" s="2">
        <v>0.071458963982145</v>
      </c>
      <c r="B81" s="2">
        <v>0.0668086696721103</v>
      </c>
    </row>
    <row r="82" spans="1:2">
      <c r="A82" s="2">
        <v>0.0504308536268919</v>
      </c>
      <c r="B82" s="2">
        <v>0.0400053346136992</v>
      </c>
    </row>
    <row r="83" spans="1:2">
      <c r="A83" s="2">
        <v>0.0162605208717803</v>
      </c>
      <c r="B83" s="2">
        <v>-0.00738010729762253</v>
      </c>
    </row>
    <row r="84" spans="1:2">
      <c r="A84" s="2">
        <v>0.0239055208535544</v>
      </c>
      <c r="B84" s="2">
        <v>-0.00157325337525177</v>
      </c>
    </row>
    <row r="85" spans="1:2">
      <c r="A85" s="2">
        <v>-0.0222939169592129</v>
      </c>
      <c r="B85" s="2">
        <v>0.00784326762333451</v>
      </c>
    </row>
    <row r="86" spans="1:2">
      <c r="A86" s="2">
        <v>-0.00970881412696094</v>
      </c>
      <c r="B86" s="2">
        <v>-0.0253177660406544</v>
      </c>
    </row>
    <row r="87" spans="1:2">
      <c r="A87" s="2">
        <v>-0.0672522270091675</v>
      </c>
      <c r="B87" s="2">
        <v>0.00798097901994805</v>
      </c>
    </row>
    <row r="88" spans="1:2">
      <c r="A88" s="2">
        <v>-0.0674412807955325</v>
      </c>
      <c r="B88" s="2">
        <v>0.053763551995146</v>
      </c>
    </row>
    <row r="89" spans="1:2">
      <c r="A89" s="2">
        <v>-0.0417914565448033</v>
      </c>
      <c r="B89" s="2">
        <v>-0.0320540262900835</v>
      </c>
    </row>
    <row r="90" spans="1:2">
      <c r="A90" s="2">
        <v>-0.00388727408840166</v>
      </c>
      <c r="B90" s="2">
        <v>0.0161554402222852</v>
      </c>
    </row>
    <row r="91" spans="1:2">
      <c r="A91" s="2">
        <v>-0.0266419309464212</v>
      </c>
      <c r="B91" s="2">
        <v>-0.0177854324332163</v>
      </c>
    </row>
    <row r="92" spans="1:2">
      <c r="A92" s="2">
        <v>-0.0140989243795016</v>
      </c>
      <c r="B92" s="2">
        <v>-0.00163265342388533</v>
      </c>
    </row>
    <row r="93" spans="1:2">
      <c r="A93" s="2">
        <v>0.0260274952447755</v>
      </c>
      <c r="B93" s="2">
        <v>0.0145987994211526</v>
      </c>
    </row>
    <row r="94" spans="1:2">
      <c r="A94" s="2">
        <v>0.0176302313762705</v>
      </c>
      <c r="B94" s="2">
        <v>-0.0344014267173324</v>
      </c>
    </row>
    <row r="95" spans="1:2">
      <c r="A95" s="2">
        <v>-0.0107370480009567</v>
      </c>
      <c r="B95" s="2">
        <v>0.00498754151103897</v>
      </c>
    </row>
    <row r="96" spans="1:2">
      <c r="A96" s="2">
        <v>-0.0288720900940891</v>
      </c>
      <c r="B96" s="2">
        <v>0.0131797624444098</v>
      </c>
    </row>
    <row r="97" spans="1:2">
      <c r="A97" s="2">
        <v>0.00503779402995708</v>
      </c>
      <c r="B97" s="2">
        <v>0.00652530863492264</v>
      </c>
    </row>
    <row r="98" spans="1:2">
      <c r="A98" s="2">
        <v>-0.0151901654939751</v>
      </c>
      <c r="B98" s="2">
        <v>0.0080972102326193</v>
      </c>
    </row>
    <row r="99" spans="1:2">
      <c r="A99" s="2">
        <v>0.00711746776886395</v>
      </c>
      <c r="B99" s="2">
        <v>-0.00647251450561748</v>
      </c>
    </row>
    <row r="100" spans="1:2">
      <c r="A100" s="2">
        <v>0.00807269772511126</v>
      </c>
      <c r="B100" s="2">
        <v>-0.00325203538637734</v>
      </c>
    </row>
    <row r="101" spans="1:2">
      <c r="A101" s="2">
        <v>0.0218696588899671</v>
      </c>
      <c r="B101" s="2">
        <v>0.00972454989199478</v>
      </c>
    </row>
    <row r="102" spans="1:2">
      <c r="A102" s="2">
        <v>0.0175443096509095</v>
      </c>
      <c r="B102" s="2">
        <v>0.025479085300985</v>
      </c>
    </row>
    <row r="103" spans="1:2">
      <c r="A103" s="2">
        <v>-0.00581396986541984</v>
      </c>
      <c r="B103" s="2">
        <v>0.0233110788684471</v>
      </c>
    </row>
    <row r="104" spans="1:2">
      <c r="A104" s="2">
        <v>-0.00194552590549133</v>
      </c>
      <c r="B104" s="2">
        <v>-0.00616334770766869</v>
      </c>
    </row>
    <row r="105" spans="1:2">
      <c r="A105" s="2">
        <v>0.0173749544703532</v>
      </c>
      <c r="B105" s="2">
        <v>-0.0250404319596874</v>
      </c>
    </row>
    <row r="106" spans="1:2">
      <c r="A106" s="2">
        <v>0.00952388151125554</v>
      </c>
      <c r="B106" s="2">
        <v>0.00158353160564422</v>
      </c>
    </row>
    <row r="107" spans="1:2">
      <c r="A107" s="2">
        <v>0.00378429969123963</v>
      </c>
      <c r="B107" s="2">
        <v>-0.0321571116345313</v>
      </c>
    </row>
    <row r="108" spans="1:2">
      <c r="A108" s="2">
        <v>-0.0394851484909385</v>
      </c>
      <c r="B108" s="2">
        <v>-0.0231415285616944</v>
      </c>
    </row>
    <row r="109" spans="1:2">
      <c r="A109" s="2">
        <v>-0.00393701295933953</v>
      </c>
      <c r="B109" s="2">
        <v>0.00832644277655381</v>
      </c>
    </row>
    <row r="110" spans="1:2">
      <c r="A110" s="2">
        <v>-0.0139029051689914</v>
      </c>
      <c r="B110" s="2">
        <v>0.0049627893421291</v>
      </c>
    </row>
    <row r="111" spans="1:2">
      <c r="A111" s="2">
        <v>0</v>
      </c>
      <c r="B111" s="2">
        <v>0.00493828164058258</v>
      </c>
    </row>
    <row r="112" spans="1:2">
      <c r="A112" s="2">
        <v>0.0227394869694893</v>
      </c>
      <c r="B112" s="2">
        <v>0.0146701897477938</v>
      </c>
    </row>
    <row r="113" spans="1:2">
      <c r="A113" s="2">
        <v>0.00390244397693175</v>
      </c>
      <c r="B113" s="2">
        <v>-0.0048661896511729</v>
      </c>
    </row>
    <row r="114" spans="1:2">
      <c r="A114" s="2">
        <v>0.0173749544703532</v>
      </c>
      <c r="B114" s="2">
        <v>-0.0197050710793324</v>
      </c>
    </row>
    <row r="115" spans="1:2">
      <c r="A115" s="2">
        <v>0.000956480225956814</v>
      </c>
      <c r="B115" s="2">
        <v>0.0115417604401715</v>
      </c>
    </row>
    <row r="116" spans="1:2">
      <c r="A116" s="2">
        <v>0</v>
      </c>
      <c r="B116" s="2">
        <v>-0.00823049913651548</v>
      </c>
    </row>
    <row r="117" spans="1:2">
      <c r="A117" s="2">
        <v>0.00571974867278691</v>
      </c>
      <c r="B117" s="2">
        <v>-0.0133113446382394</v>
      </c>
    </row>
    <row r="118" spans="1:2">
      <c r="A118" s="2">
        <v>-0.0668224962454017</v>
      </c>
      <c r="B118" s="2">
        <v>-0.0168922935645056</v>
      </c>
    </row>
    <row r="119" spans="1:2">
      <c r="A119" s="2">
        <v>-0.00305343748689034</v>
      </c>
      <c r="B119" s="2">
        <v>0</v>
      </c>
    </row>
    <row r="120" spans="1:2">
      <c r="A120" s="2">
        <v>0.017180816746101</v>
      </c>
      <c r="B120" s="2">
        <v>0.0235701147071112</v>
      </c>
    </row>
    <row r="121" spans="1:2">
      <c r="A121" s="2">
        <v>-0.00804833318282837</v>
      </c>
      <c r="B121" s="2">
        <v>-0.00166527931906121</v>
      </c>
    </row>
    <row r="122" spans="1:2">
      <c r="A122" s="2">
        <v>-0.0528894639203727</v>
      </c>
      <c r="B122" s="2">
        <v>0.00829880281469506</v>
      </c>
    </row>
    <row r="123" spans="1:2">
      <c r="A123" s="2">
        <v>0</v>
      </c>
      <c r="B123" s="2">
        <v>0.0033003330286567</v>
      </c>
    </row>
    <row r="124" spans="1:2">
      <c r="A124" s="2">
        <v>0.00106439605578672</v>
      </c>
      <c r="B124" s="2">
        <v>0.00493016610785859</v>
      </c>
    </row>
    <row r="125" spans="1:2">
      <c r="A125" s="2">
        <v>-0.0010643960557867</v>
      </c>
      <c r="B125" s="2">
        <v>0.011410066738031</v>
      </c>
    </row>
    <row r="126" spans="1:2">
      <c r="A126" s="2">
        <v>-0.0096308930609613</v>
      </c>
      <c r="B126" s="2">
        <v>-0.00977206473379249</v>
      </c>
    </row>
    <row r="127" spans="1:2">
      <c r="A127" s="2">
        <v>0</v>
      </c>
      <c r="B127" s="2">
        <v>0.0113914982860956</v>
      </c>
    </row>
    <row r="128" spans="1:2">
      <c r="A128" s="2">
        <v>0.00536194314138537</v>
      </c>
      <c r="B128" s="2">
        <v>-0.0048661896511729</v>
      </c>
    </row>
    <row r="129" spans="1:2">
      <c r="A129" s="2">
        <v>0.0138079729663348</v>
      </c>
      <c r="B129" s="2">
        <v>-0.0114473858403508</v>
      </c>
    </row>
    <row r="130" spans="1:2">
      <c r="A130" s="2">
        <v>0.0021074823395648</v>
      </c>
      <c r="B130" s="2">
        <v>0.00164338574373006</v>
      </c>
    </row>
    <row r="131" spans="1:2">
      <c r="A131" s="2">
        <v>0.0259754864032607</v>
      </c>
      <c r="B131" s="2">
        <v>0.00654666822631437</v>
      </c>
    </row>
    <row r="132" spans="1:2">
      <c r="A132" s="2">
        <v>-0.0155041865359652</v>
      </c>
      <c r="B132" s="2">
        <v>-0.0197700014010038</v>
      </c>
    </row>
    <row r="133" spans="1:2">
      <c r="A133" s="2">
        <v>-0.0403880609052881</v>
      </c>
      <c r="B133" s="2">
        <v>0.00497926339960736</v>
      </c>
    </row>
    <row r="134" spans="1:2">
      <c r="A134" s="2">
        <v>-0.0252621890849736</v>
      </c>
      <c r="B134" s="2">
        <v>-0.00664454271866861</v>
      </c>
    </row>
    <row r="135" spans="1:2">
      <c r="A135" s="2">
        <v>0.00111172885269042</v>
      </c>
      <c r="B135" s="2">
        <v>0.0198026272961797</v>
      </c>
    </row>
    <row r="136" spans="1:2">
      <c r="A136" s="2">
        <v>0.0165293019512105</v>
      </c>
      <c r="B136" s="2">
        <v>0.0273989741881143</v>
      </c>
    </row>
    <row r="137" spans="1:2">
      <c r="A137" s="2">
        <v>0.00653597097978545</v>
      </c>
      <c r="B137" s="2">
        <v>0.0047581374464168</v>
      </c>
    </row>
    <row r="138" spans="1:2">
      <c r="A138" s="2">
        <v>0.0372978767960945</v>
      </c>
      <c r="B138" s="2">
        <v>0.00158102799731877</v>
      </c>
    </row>
    <row r="139" spans="1:2">
      <c r="A139" s="2">
        <v>-0.0200746308129791</v>
      </c>
      <c r="B139" s="2">
        <v>-0.00158102799731882</v>
      </c>
    </row>
    <row r="140" spans="1:2">
      <c r="A140" s="2">
        <v>-0.0183096121953362</v>
      </c>
      <c r="B140" s="2">
        <v>0.00788026142530597</v>
      </c>
    </row>
    <row r="141" spans="1:2">
      <c r="A141" s="2">
        <v>0.00217155351350793</v>
      </c>
      <c r="B141" s="2">
        <v>-0.0319006316667755</v>
      </c>
    </row>
    <row r="142" spans="1:2">
      <c r="A142" s="2">
        <v>0.0351661169241365</v>
      </c>
      <c r="B142" s="2">
        <v>-0.0246115785965668</v>
      </c>
    </row>
    <row r="143" spans="1:2">
      <c r="A143" s="2">
        <v>-0.0373376704376442</v>
      </c>
      <c r="B143" s="2">
        <v>-0.00332779009267469</v>
      </c>
    </row>
    <row r="144" spans="1:2">
      <c r="A144" s="2">
        <v>0.0425596144187959</v>
      </c>
      <c r="B144" s="2">
        <v>0.00332779009267475</v>
      </c>
    </row>
    <row r="145" spans="1:2">
      <c r="A145" s="2">
        <v>-0.0199901448765023</v>
      </c>
      <c r="B145" s="2">
        <v>-0.00166251077361341</v>
      </c>
    </row>
    <row r="146" spans="1:2">
      <c r="A146" s="2">
        <v>-0.0670212321131275</v>
      </c>
      <c r="B146" s="2">
        <v>0</v>
      </c>
    </row>
    <row r="147" spans="1:2">
      <c r="A147" s="2">
        <v>-0.00684153181671671</v>
      </c>
      <c r="B147" s="2">
        <v>0</v>
      </c>
    </row>
    <row r="148" spans="1:2">
      <c r="A148" s="2">
        <v>0.0158913673366347</v>
      </c>
      <c r="B148" s="2">
        <v>0.00332226219197786</v>
      </c>
    </row>
    <row r="149" spans="1:2">
      <c r="A149" s="2">
        <v>-0.010186845306993</v>
      </c>
      <c r="B149" s="2">
        <v>-0.00832644277655367</v>
      </c>
    </row>
    <row r="150" spans="1:2">
      <c r="A150" s="2">
        <v>-0.0218525084376236</v>
      </c>
      <c r="B150" s="2">
        <v>-0.00167364055802965</v>
      </c>
    </row>
    <row r="151" spans="1:2">
      <c r="A151" s="2">
        <v>-0.0500700526448064</v>
      </c>
      <c r="B151" s="2">
        <v>0.00834033191621895</v>
      </c>
    </row>
    <row r="152" spans="1:2">
      <c r="A152" s="2">
        <v>-0.0323009447883212</v>
      </c>
      <c r="B152" s="2">
        <v>-0.0201349084090559</v>
      </c>
    </row>
    <row r="153" spans="1:2">
      <c r="A153" s="2">
        <v>-0.0294704223087819</v>
      </c>
      <c r="B153" s="2">
        <v>-0.0188200593267699</v>
      </c>
    </row>
    <row r="154" spans="1:2">
      <c r="A154" s="2">
        <v>-0.0117725362252672</v>
      </c>
      <c r="B154" s="2">
        <v>-0.00172860890061774</v>
      </c>
    </row>
    <row r="155" spans="1:2">
      <c r="A155" s="2">
        <v>0.00393959800408031</v>
      </c>
      <c r="B155" s="2">
        <v>-0.005203827875027</v>
      </c>
    </row>
    <row r="156" spans="1:2">
      <c r="A156" s="2">
        <v>-0.0039395980040802</v>
      </c>
      <c r="B156" s="2">
        <v>0.00347222571074906</v>
      </c>
    </row>
    <row r="157" spans="1:2">
      <c r="A157" s="2">
        <v>0.00393959800408031</v>
      </c>
      <c r="B157" s="2">
        <v>-0.00347222571074909</v>
      </c>
    </row>
    <row r="158" spans="1:2">
      <c r="A158" s="2">
        <v>0.00522877008279928</v>
      </c>
      <c r="B158" s="2">
        <v>0.00865806274311453</v>
      </c>
    </row>
    <row r="159" spans="1:2">
      <c r="A159" s="2">
        <v>0.00390371348047337</v>
      </c>
      <c r="B159" s="2">
        <v>-0.00345423486808756</v>
      </c>
    </row>
    <row r="160" spans="1:2">
      <c r="A160" s="2">
        <v>-0.0130720815673528</v>
      </c>
      <c r="B160" s="2">
        <v>-0.0245196171743186</v>
      </c>
    </row>
    <row r="161" spans="1:2">
      <c r="A161" s="2">
        <v>0.0246926125903714</v>
      </c>
      <c r="B161" s="2">
        <v>0.00706716722309235</v>
      </c>
    </row>
    <row r="162" spans="1:2">
      <c r="A162" s="2">
        <v>-0.00773199728332632</v>
      </c>
      <c r="B162" s="2">
        <v>-0.00706716722309244</v>
      </c>
    </row>
    <row r="163" spans="1:2">
      <c r="A163" s="2">
        <v>-0.0436288623892065</v>
      </c>
      <c r="B163" s="2">
        <v>-0.00890477834295972</v>
      </c>
    </row>
    <row r="164" spans="1:2">
      <c r="A164" s="2">
        <v>-0.0527167821724044</v>
      </c>
      <c r="B164" s="2">
        <v>0.0124446050480837</v>
      </c>
    </row>
    <row r="165" spans="1:2">
      <c r="A165" s="2">
        <v>0.0211424365738092</v>
      </c>
      <c r="B165" s="2">
        <v>-0.00887317268048657</v>
      </c>
    </row>
    <row r="166" spans="1:2">
      <c r="A166" s="2">
        <v>-0.00419287826003593</v>
      </c>
      <c r="B166" s="2">
        <v>-0.00178412179350144</v>
      </c>
    </row>
    <row r="167" spans="1:2">
      <c r="A167" s="2">
        <v>-0.0255333020051648</v>
      </c>
      <c r="B167" s="2">
        <v>0.00356506616449614</v>
      </c>
    </row>
    <row r="168" spans="1:2">
      <c r="A168" s="2">
        <v>-0.0321195494221127</v>
      </c>
      <c r="B168" s="2">
        <v>0.00177777824599936</v>
      </c>
    </row>
    <row r="169" spans="1:2">
      <c r="A169" s="2">
        <v>0.0147278067102434</v>
      </c>
      <c r="B169" s="2">
        <v>-0.0143115143932559</v>
      </c>
    </row>
    <row r="170" spans="1:2">
      <c r="A170" s="2">
        <v>0.0231224174208542</v>
      </c>
      <c r="B170" s="2">
        <v>0.00718135940866458</v>
      </c>
    </row>
    <row r="171" spans="1:2">
      <c r="A171" s="2">
        <v>0.0295588022415444</v>
      </c>
      <c r="B171" s="2">
        <v>-0.0126014268780038</v>
      </c>
    </row>
    <row r="172" spans="1:2">
      <c r="A172" s="2">
        <v>0.00691087753984701</v>
      </c>
      <c r="B172" s="2">
        <v>0.00180995524523939</v>
      </c>
    </row>
    <row r="173" spans="1:2">
      <c r="A173" s="2">
        <v>-0.0265193489282233</v>
      </c>
      <c r="B173" s="2">
        <v>0</v>
      </c>
    </row>
    <row r="174" spans="1:2">
      <c r="A174" s="2">
        <v>0.072287767383804</v>
      </c>
      <c r="B174" s="2">
        <v>0</v>
      </c>
    </row>
    <row r="175" spans="1:2">
      <c r="A175" s="2">
        <v>0.0104712998672954</v>
      </c>
      <c r="B175" s="2">
        <v>0.0179216266173556</v>
      </c>
    </row>
    <row r="176" spans="1:2">
      <c r="A176" s="2">
        <v>0.00389864041565732</v>
      </c>
      <c r="B176" s="2">
        <v>0.0106008059866405</v>
      </c>
    </row>
    <row r="177" spans="1:2">
      <c r="A177" s="2">
        <v>0.00646414661988924</v>
      </c>
      <c r="B177" s="2">
        <v>-0.0249123203798965</v>
      </c>
    </row>
    <row r="178" spans="1:2">
      <c r="A178" s="2">
        <v>-0.00776200533548919</v>
      </c>
      <c r="B178" s="2">
        <v>-0.0163491380015294</v>
      </c>
    </row>
    <row r="179" spans="1:2">
      <c r="A179" s="2">
        <v>0.00776200533548911</v>
      </c>
      <c r="B179" s="2">
        <v>0.00547946576462557</v>
      </c>
    </row>
    <row r="180" spans="1:2">
      <c r="A180" s="2">
        <v>-0.00906155067757474</v>
      </c>
      <c r="B180" s="2">
        <v>0.00363636764338393</v>
      </c>
    </row>
    <row r="181" spans="1:2">
      <c r="A181" s="2">
        <v>-0.0157277160681952</v>
      </c>
      <c r="B181" s="2">
        <v>0.00181323712418072</v>
      </c>
    </row>
    <row r="182" spans="1:2">
      <c r="A182" s="2">
        <v>-0.0186672087196896</v>
      </c>
      <c r="B182" s="2">
        <v>0.00361664047018851</v>
      </c>
    </row>
    <row r="183" spans="1:2">
      <c r="A183" s="2">
        <v>-0.0108255455049224</v>
      </c>
      <c r="B183" s="2">
        <v>0.00540055318000029</v>
      </c>
    </row>
    <row r="184" spans="1:2">
      <c r="A184" s="2">
        <v>-0.066081661279493</v>
      </c>
      <c r="B184" s="2">
        <v>-0.00720723840494927</v>
      </c>
    </row>
    <row r="185" spans="1:2">
      <c r="A185" s="2">
        <v>-0.0102265317838313</v>
      </c>
      <c r="B185" s="2">
        <v>-0.00543972329581821</v>
      </c>
    </row>
    <row r="186" spans="1:2">
      <c r="A186" s="2">
        <v>-0.0118169765047845</v>
      </c>
      <c r="B186" s="2">
        <v>0.00724640852076725</v>
      </c>
    </row>
    <row r="187" spans="1:2">
      <c r="A187" s="2">
        <v>-0.0676140729442873</v>
      </c>
      <c r="B187" s="2">
        <v>0.00898478640781526</v>
      </c>
    </row>
    <row r="188" spans="1:2">
      <c r="A188" s="2">
        <v>-0.0674043088018136</v>
      </c>
      <c r="B188" s="2">
        <v>0.00178731057409566</v>
      </c>
    </row>
    <row r="189" spans="1:2">
      <c r="A189" s="2">
        <v>-0.0136988443581619</v>
      </c>
      <c r="B189" s="2">
        <v>0.00356506616449614</v>
      </c>
    </row>
    <row r="190" spans="1:2">
      <c r="A190" s="2">
        <v>0</v>
      </c>
      <c r="B190" s="2">
        <v>0.0106195688274604</v>
      </c>
    </row>
    <row r="191" spans="1:2">
      <c r="A191" s="2">
        <v>0.04054609439435</v>
      </c>
      <c r="B191" s="2">
        <v>-0.0106195688274603</v>
      </c>
    </row>
    <row r="192" spans="1:2">
      <c r="A192" s="2">
        <v>0.0261452801043222</v>
      </c>
      <c r="B192" s="2">
        <v>0.0053238812527498</v>
      </c>
    </row>
    <row r="193" spans="1:2">
      <c r="A193" s="2">
        <v>0.00482704074831594</v>
      </c>
      <c r="B193" s="2">
        <v>0.00170827458104891</v>
      </c>
    </row>
    <row r="194" spans="1:2">
      <c r="A194" s="2">
        <v>-0.00160642604827369</v>
      </c>
      <c r="B194" s="2">
        <v>-0.0154769657482927</v>
      </c>
    </row>
    <row r="195" spans="1:2">
      <c r="A195" s="2">
        <v>0</v>
      </c>
      <c r="B195" s="2">
        <v>-0.0052138830838346</v>
      </c>
    </row>
    <row r="196" spans="1:2">
      <c r="A196" s="2">
        <v>-0.00322061470004217</v>
      </c>
      <c r="B196" s="2">
        <v>-0.00349108610653296</v>
      </c>
    </row>
    <row r="197" spans="1:2">
      <c r="A197" s="2">
        <v>-0.0179012103292402</v>
      </c>
      <c r="B197" s="2">
        <v>0.0295283633375014</v>
      </c>
    </row>
    <row r="198" spans="1:2">
      <c r="A198" s="2">
        <v>0</v>
      </c>
      <c r="B198" s="2">
        <v>0</v>
      </c>
    </row>
    <row r="199" spans="1:2">
      <c r="A199" s="2">
        <v>-0.0419172848816699</v>
      </c>
      <c r="B199" s="2">
        <v>0.0122272265695603</v>
      </c>
    </row>
    <row r="200" spans="1:2">
      <c r="A200" s="2">
        <v>0.00171086440362939</v>
      </c>
      <c r="B200" s="2">
        <v>-0.00173761989854085</v>
      </c>
    </row>
    <row r="201" spans="1:2">
      <c r="A201" s="2">
        <v>0.0629346715555966</v>
      </c>
      <c r="B201" s="2">
        <v>0.0138171455531419</v>
      </c>
    </row>
    <row r="202" spans="1:2">
      <c r="A202" s="2">
        <v>-0.017814236275127</v>
      </c>
      <c r="B202" s="2">
        <v>-0.034907558210802</v>
      </c>
    </row>
    <row r="203" spans="1:2">
      <c r="A203" s="2">
        <v>-0.0451204352804695</v>
      </c>
      <c r="B203" s="2">
        <v>0.00177462335836848</v>
      </c>
    </row>
    <row r="204" spans="1:2">
      <c r="A204" s="2">
        <v>-0.0172418064345061</v>
      </c>
      <c r="B204" s="2">
        <v>-0.00711746776886399</v>
      </c>
    </row>
    <row r="205" spans="1:2">
      <c r="A205" s="2">
        <v>-0.0444517625708338</v>
      </c>
      <c r="B205" s="2">
        <v>0.0124225199985571</v>
      </c>
    </row>
    <row r="206" spans="1:2">
      <c r="A206" s="2">
        <v>0</v>
      </c>
      <c r="B206" s="2">
        <v>-0.00176522552456919</v>
      </c>
    </row>
    <row r="207" spans="1:2">
      <c r="A207" s="2">
        <v>0.0322031404946347</v>
      </c>
      <c r="B207" s="2">
        <v>-0.010657294473988</v>
      </c>
    </row>
    <row r="208" spans="1:2">
      <c r="A208" s="2">
        <v>-0.00529568757471045</v>
      </c>
      <c r="B208" s="2">
        <v>0</v>
      </c>
    </row>
    <row r="209" spans="1:2">
      <c r="A209" s="2">
        <v>0.0175443096509095</v>
      </c>
      <c r="B209" s="2">
        <v>0.00534284441049545</v>
      </c>
    </row>
    <row r="210" spans="1:2">
      <c r="A210" s="2">
        <v>-0.00523104941755256</v>
      </c>
      <c r="B210" s="2">
        <v>0.0106008059866405</v>
      </c>
    </row>
    <row r="211" spans="1:2">
      <c r="A211" s="2">
        <v>-0.0668722444837914</v>
      </c>
      <c r="B211" s="2">
        <v>0.0104896066710194</v>
      </c>
    </row>
    <row r="212" spans="1:2">
      <c r="A212" s="2">
        <v>-0.0322915046365235</v>
      </c>
      <c r="B212" s="2">
        <v>-0.0336017465467681</v>
      </c>
    </row>
    <row r="213" spans="1:2">
      <c r="A213" s="2">
        <v>-0.0658263513219998</v>
      </c>
      <c r="B213" s="2">
        <v>-0.0669394826751094</v>
      </c>
    </row>
    <row r="214" spans="1:2">
      <c r="A214" s="2">
        <v>-0.0314161962333789</v>
      </c>
      <c r="B214" s="2">
        <v>0.0469569830877711</v>
      </c>
    </row>
    <row r="215" spans="1:2">
      <c r="A215" s="2">
        <v>0.0678574753956349</v>
      </c>
      <c r="B215" s="2">
        <v>0.0708260525686124</v>
      </c>
    </row>
    <row r="216" spans="1:2">
      <c r="A216" s="2">
        <v>-0.0200809960570491</v>
      </c>
      <c r="B216" s="2">
        <v>-0.0347861160854155</v>
      </c>
    </row>
    <row r="217" spans="1:2">
      <c r="A217" s="2">
        <v>0.0723678325034773</v>
      </c>
      <c r="B217" s="2">
        <v>0.0684027268844006</v>
      </c>
    </row>
    <row r="218" spans="1:2">
      <c r="A218" s="2">
        <v>0</v>
      </c>
      <c r="B218" s="2">
        <v>0.00494642393532562</v>
      </c>
    </row>
    <row r="219" spans="1:2">
      <c r="A219" s="2">
        <v>-0.032601161375398</v>
      </c>
      <c r="B219" s="2">
        <v>-0.00329489589685254</v>
      </c>
    </row>
    <row r="220" spans="1:2">
      <c r="A220" s="2">
        <v>-0.0019512201312618</v>
      </c>
      <c r="B220" s="2">
        <v>-0.00496278934212901</v>
      </c>
    </row>
    <row r="221" spans="1:2">
      <c r="A221" s="2">
        <v>0</v>
      </c>
      <c r="B221" s="2">
        <v>0.0131797624444098</v>
      </c>
    </row>
    <row r="222" spans="1:2">
      <c r="A222" s="2">
        <v>0.00584227562422836</v>
      </c>
      <c r="B222" s="2">
        <v>0.00163532334073084</v>
      </c>
    </row>
    <row r="223" spans="1:2">
      <c r="A223" s="2">
        <v>0</v>
      </c>
      <c r="B223" s="2">
        <v>0.00326264563481637</v>
      </c>
    </row>
    <row r="224" spans="1:2">
      <c r="A224" s="2">
        <v>-0.00389105549296656</v>
      </c>
      <c r="B224" s="2">
        <v>0</v>
      </c>
    </row>
    <row r="225" spans="1:2">
      <c r="A225" s="2">
        <v>-0.0612949243917289</v>
      </c>
      <c r="B225" s="2">
        <v>-0.00162999221093106</v>
      </c>
    </row>
    <row r="226" spans="1:2">
      <c r="A226" s="2">
        <v>-0.0188290081529077</v>
      </c>
      <c r="B226" s="2">
        <v>0.00812352152147935</v>
      </c>
    </row>
    <row r="227" spans="1:2">
      <c r="A227" s="2">
        <v>0</v>
      </c>
      <c r="B227" s="2">
        <v>0.00805806132976244</v>
      </c>
    </row>
    <row r="228" spans="1:2">
      <c r="A228" s="2">
        <v>-0.00105652413419998</v>
      </c>
      <c r="B228" s="2">
        <v>0.00320513094894833</v>
      </c>
    </row>
    <row r="229" spans="1:2">
      <c r="A229" s="2">
        <v>0.0105153439995229</v>
      </c>
      <c r="B229" s="2">
        <v>0.00796816964917688</v>
      </c>
    </row>
    <row r="230" spans="1:2">
      <c r="A230" s="2">
        <v>0.00208986491945924</v>
      </c>
      <c r="B230" s="2">
        <v>-0.0143887374520996</v>
      </c>
    </row>
    <row r="231" spans="1:2">
      <c r="A231" s="2">
        <v>-0.00208986491945924</v>
      </c>
      <c r="B231" s="2">
        <v>-0.00161160389434153</v>
      </c>
    </row>
    <row r="232" spans="1:2">
      <c r="A232" s="2">
        <v>-0.0179424338431384</v>
      </c>
      <c r="B232" s="2">
        <v>0.00322061470004216</v>
      </c>
    </row>
    <row r="233" spans="1:2">
      <c r="A233" s="2">
        <v>-0.0313708796973672</v>
      </c>
      <c r="B233" s="2">
        <v>0.00321027563024819</v>
      </c>
    </row>
    <row r="234" spans="1:2">
      <c r="A234" s="2">
        <v>-0.00440529346791638</v>
      </c>
      <c r="B234" s="2">
        <v>0.00160128136697383</v>
      </c>
    </row>
    <row r="235" spans="1:2">
      <c r="A235" s="2">
        <v>-0.0077562715713591</v>
      </c>
      <c r="B235" s="2">
        <v>0.00319489089651929</v>
      </c>
    </row>
    <row r="236" spans="1:2">
      <c r="A236" s="2">
        <v>-0.0304936105626406</v>
      </c>
      <c r="B236" s="2">
        <v>0.00318471606751992</v>
      </c>
    </row>
    <row r="237" spans="1:2">
      <c r="A237" s="2">
        <v>-0.0208582301204098</v>
      </c>
      <c r="B237" s="2">
        <v>-0.00318471606751984</v>
      </c>
    </row>
    <row r="238" spans="1:2">
      <c r="A238" s="2">
        <v>-0.0153395338156218</v>
      </c>
      <c r="B238" s="2">
        <v>0.0126784582597709</v>
      </c>
    </row>
    <row r="239" spans="1:2">
      <c r="A239" s="2">
        <v>0.011820468600426</v>
      </c>
      <c r="B239" s="2">
        <v>-0.00473560474583424</v>
      </c>
    </row>
    <row r="240" spans="1:2">
      <c r="A240" s="2">
        <v>-0.0322415986639024</v>
      </c>
      <c r="B240" s="2">
        <v>-0.015949301407678</v>
      </c>
    </row>
    <row r="241" spans="1:2">
      <c r="A241" s="2">
        <v>-0.00364742045704353</v>
      </c>
      <c r="B241" s="2">
        <v>0</v>
      </c>
    </row>
    <row r="242" spans="1:2">
      <c r="A242" s="2">
        <v>-0.00856274344988791</v>
      </c>
      <c r="B242" s="2">
        <v>0.0143657698020337</v>
      </c>
    </row>
    <row r="243" spans="1:2">
      <c r="A243" s="2">
        <v>0.00122774723832234</v>
      </c>
      <c r="B243" s="2">
        <v>-0.00317460584077265</v>
      </c>
    </row>
    <row r="244" spans="1:2">
      <c r="A244" s="2">
        <v>-0.0123458358222994</v>
      </c>
      <c r="B244" s="2">
        <v>0.0142070266443493</v>
      </c>
    </row>
    <row r="245" spans="1:2">
      <c r="A245" s="2">
        <v>0.00124146508806495</v>
      </c>
      <c r="B245" s="2">
        <v>-0.0383433551976474</v>
      </c>
    </row>
    <row r="246" spans="1:2">
      <c r="A246" s="2">
        <v>0.00618431160878452</v>
      </c>
      <c r="B246" s="2">
        <v>-0.0114661370876442</v>
      </c>
    </row>
    <row r="247" spans="1:2">
      <c r="A247" s="2">
        <v>-0.0364133135701018</v>
      </c>
      <c r="B247" s="2">
        <v>0.00164609090666872</v>
      </c>
    </row>
    <row r="248" spans="1:2">
      <c r="A248" s="2">
        <v>-0.00512821636691946</v>
      </c>
      <c r="B248" s="2">
        <v>-0.00825768523898158</v>
      </c>
    </row>
    <row r="249" spans="1:2">
      <c r="A249" s="2">
        <v>-0.00257400399517288</v>
      </c>
      <c r="B249" s="2">
        <v>-0.00498754151103905</v>
      </c>
    </row>
    <row r="250" spans="1:2">
      <c r="A250" s="2">
        <v>0</v>
      </c>
      <c r="B250" s="2">
        <v>0.00498754151103897</v>
      </c>
    </row>
    <row r="251" spans="1:2">
      <c r="A251" s="2">
        <v>-0.00128949082987175</v>
      </c>
      <c r="B251" s="2">
        <v>0.00661159433231279</v>
      </c>
    </row>
    <row r="252" spans="1:2">
      <c r="A252" s="2">
        <v>-0.0195445960729703</v>
      </c>
      <c r="B252" s="2">
        <v>0.00493016610785859</v>
      </c>
    </row>
    <row r="253" spans="1:2">
      <c r="A253" s="2">
        <v>-0.00660068403135202</v>
      </c>
      <c r="B253" s="2">
        <v>-0.00988475923254197</v>
      </c>
    </row>
    <row r="254" spans="1:2">
      <c r="A254" s="2">
        <v>0.00132362693050835</v>
      </c>
      <c r="B254" s="2">
        <v>0.00330578813449941</v>
      </c>
    </row>
    <row r="255" spans="1:2">
      <c r="A255" s="2">
        <v>0.024821653173814</v>
      </c>
      <c r="B255" s="2">
        <v>0.00329489589685248</v>
      </c>
    </row>
    <row r="256" spans="1:2">
      <c r="A256" s="2">
        <v>0.00128949082987169</v>
      </c>
      <c r="B256" s="2">
        <v>-0.00164609090666879</v>
      </c>
    </row>
    <row r="257" spans="1:2">
      <c r="A257" s="2">
        <v>0.00128783018442869</v>
      </c>
      <c r="B257" s="2">
        <v>0.0130934767470196</v>
      </c>
    </row>
    <row r="258" spans="1:2">
      <c r="A258" s="2">
        <v>-0.0025773210143004</v>
      </c>
      <c r="B258" s="2">
        <v>-0.0213648224976968</v>
      </c>
    </row>
    <row r="259" spans="1:2">
      <c r="A259" s="2">
        <v>0.00643089033029033</v>
      </c>
      <c r="B259" s="2">
        <v>0.0049710127220204</v>
      </c>
    </row>
    <row r="260" spans="1:2">
      <c r="A260" s="2">
        <v>0.0127390257774297</v>
      </c>
      <c r="B260" s="2">
        <v>0.027711634708338</v>
      </c>
    </row>
    <row r="261" spans="1:2">
      <c r="A261" s="2">
        <v>0</v>
      </c>
      <c r="B261" s="2">
        <v>-0.00322061470004217</v>
      </c>
    </row>
    <row r="262" spans="1:2">
      <c r="A262" s="2">
        <v>0</v>
      </c>
      <c r="B262" s="2">
        <v>-0.00647251450561748</v>
      </c>
    </row>
    <row r="263" spans="1:2">
      <c r="A263" s="2">
        <v>0.0125787822068602</v>
      </c>
      <c r="B263" s="2">
        <v>0.00324149392417102</v>
      </c>
    </row>
    <row r="264" spans="1:2">
      <c r="A264" s="2">
        <v>0</v>
      </c>
      <c r="B264" s="2">
        <v>0.00161681522690526</v>
      </c>
    </row>
    <row r="265" spans="1:2">
      <c r="A265" s="2">
        <v>0.00249688019858715</v>
      </c>
      <c r="B265" s="2">
        <v>0.0016142053545412</v>
      </c>
    </row>
    <row r="266" spans="1:2">
      <c r="A266" s="2">
        <v>-0.00249688019858715</v>
      </c>
      <c r="B266" s="2">
        <v>-0.00161420535454111</v>
      </c>
    </row>
    <row r="267" spans="1:2">
      <c r="A267" s="2">
        <v>0</v>
      </c>
      <c r="B267" s="2">
        <v>-0.0032362487792083</v>
      </c>
    </row>
    <row r="268" spans="1:2">
      <c r="A268" s="2">
        <v>0</v>
      </c>
      <c r="B268" s="2">
        <v>-0.00162206037186806</v>
      </c>
    </row>
    <row r="269" spans="1:2">
      <c r="A269" s="2">
        <v>0</v>
      </c>
      <c r="B269" s="2">
        <v>-0.00325203538637734</v>
      </c>
    </row>
    <row r="270" spans="1:2">
      <c r="A270" s="2">
        <v>0</v>
      </c>
      <c r="B270" s="2">
        <v>-0.00162999221093106</v>
      </c>
    </row>
    <row r="271" spans="1:2">
      <c r="A271" s="2">
        <v>0.00995033085316809</v>
      </c>
      <c r="B271" s="2">
        <v>0.00812352152147935</v>
      </c>
    </row>
    <row r="272" spans="1:2">
      <c r="A272" s="2">
        <v>-0.00995033085316809</v>
      </c>
      <c r="B272" s="2">
        <v>-0.00161943355230299</v>
      </c>
    </row>
    <row r="273" spans="1:2">
      <c r="A273" s="2">
        <v>0</v>
      </c>
      <c r="B273" s="2">
        <v>0</v>
      </c>
    </row>
    <row r="274" spans="1:2">
      <c r="A274" s="2">
        <v>0</v>
      </c>
      <c r="B274" s="2">
        <v>0.0128826258310136</v>
      </c>
    </row>
    <row r="275" spans="1:2">
      <c r="A275" s="2">
        <v>0</v>
      </c>
      <c r="B275" s="2">
        <v>0.00796816964917688</v>
      </c>
    </row>
    <row r="276" spans="1:2">
      <c r="A276" s="2">
        <v>0</v>
      </c>
      <c r="B276" s="2">
        <v>0.00158604315563478</v>
      </c>
    </row>
    <row r="277" spans="1:2">
      <c r="A277" s="2">
        <v>0</v>
      </c>
      <c r="B277" s="2">
        <v>0.00474309189601285</v>
      </c>
    </row>
    <row r="278" spans="1:2">
      <c r="A278" s="2">
        <v>0.00747201483870106</v>
      </c>
      <c r="B278" s="2">
        <v>-0.00157853229304973</v>
      </c>
    </row>
    <row r="279" spans="1:2">
      <c r="A279" s="2">
        <v>0.00123992576332057</v>
      </c>
      <c r="B279" s="2">
        <v>0.00786786120061374</v>
      </c>
    </row>
    <row r="280" spans="1:2">
      <c r="A280" s="2">
        <v>0.00740744127786182</v>
      </c>
      <c r="B280" s="2">
        <v>0</v>
      </c>
    </row>
    <row r="281" spans="1:2">
      <c r="A281" s="2">
        <v>-0.00123076938613262</v>
      </c>
      <c r="B281" s="2">
        <v>0.00156617103274488</v>
      </c>
    </row>
    <row r="282" spans="1:2">
      <c r="A282" s="2">
        <v>-0.00617667189172917</v>
      </c>
      <c r="B282" s="2">
        <v>-0.00155363192640687</v>
      </c>
    </row>
    <row r="283" spans="1:2">
      <c r="A283" s="2">
        <v>0.00617667189172914</v>
      </c>
      <c r="B283" s="2">
        <v>0.0015536319264069</v>
      </c>
    </row>
    <row r="284" spans="1:2">
      <c r="A284" s="2">
        <v>-0.00617667189172917</v>
      </c>
      <c r="B284" s="2">
        <v>0.00927299154616595</v>
      </c>
    </row>
    <row r="285" spans="1:2">
      <c r="A285" s="2">
        <v>-0.00372439909098244</v>
      </c>
      <c r="B285" s="2">
        <v>-0.0170669791828118</v>
      </c>
    </row>
    <row r="286" spans="1:2">
      <c r="A286" s="2">
        <v>0.0172630674237808</v>
      </c>
      <c r="B286" s="2">
        <v>0.0124420107621506</v>
      </c>
    </row>
    <row r="287" spans="1:2">
      <c r="A287" s="2">
        <v>0.00973243691823105</v>
      </c>
      <c r="B287" s="2">
        <v>-0.00154798189234042</v>
      </c>
    </row>
    <row r="288" spans="1:2">
      <c r="A288" s="2">
        <v>-0.00851068966790862</v>
      </c>
      <c r="B288" s="2">
        <v>0.00617295031300158</v>
      </c>
    </row>
    <row r="289" spans="1:2">
      <c r="A289" s="2">
        <v>-0.00735297430525881</v>
      </c>
      <c r="B289" s="2">
        <v>-0.0123826729275792</v>
      </c>
    </row>
    <row r="290" spans="1:2">
      <c r="A290" s="2">
        <v>0.00245700369305208</v>
      </c>
      <c r="B290" s="2">
        <v>0.0062097226145776</v>
      </c>
    </row>
    <row r="291" spans="1:2">
      <c r="A291" s="2">
        <v>0.00245098161914016</v>
      </c>
      <c r="B291" s="2">
        <v>-0.00620972261457755</v>
      </c>
    </row>
    <row r="292" spans="1:2">
      <c r="A292" s="2">
        <v>0.00244498899306644</v>
      </c>
      <c r="B292" s="2">
        <v>-0.00468430625523268</v>
      </c>
    </row>
    <row r="293" spans="1:2">
      <c r="A293" s="2">
        <v>0.0121360712822255</v>
      </c>
      <c r="B293" s="2">
        <v>0.00312425946736138</v>
      </c>
    </row>
    <row r="294" spans="1:2">
      <c r="A294" s="2">
        <v>0.00120554565534869</v>
      </c>
      <c r="B294" s="2">
        <v>0</v>
      </c>
    </row>
    <row r="295" spans="1:2">
      <c r="A295" s="2">
        <v>-0.00241254640538388</v>
      </c>
      <c r="B295" s="2">
        <v>0.00311609624287772</v>
      </c>
    </row>
    <row r="296" spans="1:2">
      <c r="A296" s="2">
        <v>-0.0319045465187452</v>
      </c>
      <c r="B296" s="2">
        <v>-0.0156753148234858</v>
      </c>
    </row>
    <row r="297" spans="1:2">
      <c r="A297" s="2">
        <v>0.0197537287362326</v>
      </c>
      <c r="B297" s="2">
        <v>0.00943495911324693</v>
      </c>
    </row>
    <row r="298" spans="1:2">
      <c r="A298" s="2">
        <v>-0.00367422336188434</v>
      </c>
      <c r="B298" s="2">
        <v>0.00934520953470289</v>
      </c>
    </row>
    <row r="299" spans="1:2">
      <c r="A299" s="2">
        <v>0.00122624172324429</v>
      </c>
      <c r="B299" s="2">
        <v>0.00154881933510736</v>
      </c>
    </row>
    <row r="300" spans="1:2">
      <c r="A300" s="2">
        <v>0.00732604009207288</v>
      </c>
      <c r="B300" s="2">
        <v>-0.00154881933510739</v>
      </c>
    </row>
    <row r="301" spans="1:2">
      <c r="A301" s="2">
        <v>0.0192777054259031</v>
      </c>
      <c r="B301" s="2">
        <v>0.00154881933510736</v>
      </c>
    </row>
    <row r="302" spans="1:2">
      <c r="A302" s="2">
        <v>0.0118625353098199</v>
      </c>
      <c r="B302" s="2">
        <v>0.0030920159561545</v>
      </c>
    </row>
    <row r="303" spans="1:2">
      <c r="A303" s="2">
        <v>0.00705055799666676</v>
      </c>
      <c r="B303" s="2">
        <v>-0.0077456891157256</v>
      </c>
    </row>
    <row r="304" spans="1:2">
      <c r="A304" s="2">
        <v>-0.0260987529673613</v>
      </c>
      <c r="B304" s="2">
        <v>0</v>
      </c>
    </row>
    <row r="305" spans="1:2">
      <c r="A305" s="2">
        <v>0.0400524677412265</v>
      </c>
      <c r="B305" s="2">
        <v>-0.00624035571023898</v>
      </c>
    </row>
    <row r="306" spans="1:2">
      <c r="A306" s="2">
        <v>0</v>
      </c>
      <c r="B306" s="2">
        <v>-0.00470635229121198</v>
      </c>
    </row>
    <row r="307" spans="1:2">
      <c r="A307" s="2">
        <v>-0.025732413966478</v>
      </c>
      <c r="B307" s="2">
        <v>-0.00947807991918752</v>
      </c>
    </row>
    <row r="308" spans="1:2">
      <c r="A308" s="2">
        <v>-0.0337381396318501</v>
      </c>
      <c r="B308" s="2">
        <v>0.00316882046216455</v>
      </c>
    </row>
    <row r="309" spans="1:2">
      <c r="A309" s="2">
        <v>-0.0135720775455436</v>
      </c>
      <c r="B309" s="2">
        <v>0.00787997854212964</v>
      </c>
    </row>
    <row r="310" spans="1:2">
      <c r="A310" s="2">
        <v>0.00248139085138548</v>
      </c>
      <c r="B310" s="2">
        <v>0.0202026123889171</v>
      </c>
    </row>
    <row r="311" spans="1:2">
      <c r="A311" s="2">
        <v>-0.00123992576332055</v>
      </c>
      <c r="B311" s="2">
        <v>0</v>
      </c>
    </row>
    <row r="312" spans="1:2">
      <c r="A312" s="2">
        <v>0</v>
      </c>
      <c r="B312" s="2">
        <v>-0.00153928065932899</v>
      </c>
    </row>
    <row r="313" spans="1:2">
      <c r="A313" s="2">
        <v>0.00741659765504962</v>
      </c>
      <c r="B313" s="2">
        <v>0.00461229775148487</v>
      </c>
    </row>
    <row r="314" spans="1:2">
      <c r="A314" s="2">
        <v>-0.0148886124937506</v>
      </c>
      <c r="B314" s="2">
        <v>0.00763917893585654</v>
      </c>
    </row>
    <row r="315" spans="1:2">
      <c r="A315" s="2">
        <v>0.0344014267173323</v>
      </c>
      <c r="B315" s="2">
        <v>0.00304032374298038</v>
      </c>
    </row>
    <row r="316" spans="1:2">
      <c r="A316" s="2">
        <v>0.00361664047018851</v>
      </c>
      <c r="B316" s="2">
        <v>-0.00151977225020121</v>
      </c>
    </row>
    <row r="317" spans="1:2">
      <c r="A317" s="2">
        <v>-0.00120409406480456</v>
      </c>
      <c r="B317" s="2">
        <v>-0.00456860833662017</v>
      </c>
    </row>
    <row r="318" spans="1:2">
      <c r="A318" s="2">
        <v>0</v>
      </c>
      <c r="B318" s="2">
        <v>0.0015251897527862</v>
      </c>
    </row>
    <row r="319" spans="1:2">
      <c r="A319" s="2">
        <v>0</v>
      </c>
      <c r="B319" s="2">
        <v>0.00304341858383385</v>
      </c>
    </row>
    <row r="320" spans="1:2">
      <c r="A320" s="2">
        <v>0</v>
      </c>
      <c r="B320" s="2">
        <v>0.00454935574003944</v>
      </c>
    </row>
    <row r="321" spans="1:2">
      <c r="A321" s="2">
        <v>-0.00846950011357383</v>
      </c>
      <c r="B321" s="2">
        <v>0.00302043282942808</v>
      </c>
    </row>
    <row r="322" spans="1:2">
      <c r="A322" s="2">
        <v>0.0381452682596905</v>
      </c>
      <c r="B322" s="2">
        <v>0.0105032530991674</v>
      </c>
    </row>
    <row r="323" spans="1:2">
      <c r="A323" s="2">
        <v>-0.00117027514819032</v>
      </c>
      <c r="B323" s="2">
        <v>0.00298142053749163</v>
      </c>
    </row>
    <row r="324" spans="1:2">
      <c r="A324" s="2">
        <v>0.0265757985836131</v>
      </c>
      <c r="B324" s="2">
        <v>0.0118331343476311</v>
      </c>
    </row>
    <row r="325" spans="1:2">
      <c r="A325" s="2">
        <v>0</v>
      </c>
      <c r="B325" s="2">
        <v>0.00586520612469122</v>
      </c>
    </row>
    <row r="326" spans="1:2">
      <c r="A326" s="2">
        <v>0.0693728828918666</v>
      </c>
      <c r="B326" s="2">
        <v>-0.0162117056723357</v>
      </c>
    </row>
    <row r="327" spans="1:2">
      <c r="A327" s="2">
        <v>0.0262482260749364</v>
      </c>
      <c r="B327" s="2">
        <v>0</v>
      </c>
    </row>
    <row r="328" spans="1:2">
      <c r="A328" s="2">
        <v>-0.00937018828758463</v>
      </c>
      <c r="B328" s="2">
        <v>0</v>
      </c>
    </row>
    <row r="329" spans="1:2">
      <c r="A329" s="2">
        <v>-0.0548229693514751</v>
      </c>
      <c r="B329" s="2">
        <v>0.00148442799726188</v>
      </c>
    </row>
    <row r="330" spans="1:2">
      <c r="A330" s="2">
        <v>-0.00332042363730241</v>
      </c>
      <c r="B330" s="2">
        <v>0.00296375259028297</v>
      </c>
    </row>
    <row r="331" spans="1:2">
      <c r="A331" s="2">
        <v>-0.00221975673831289</v>
      </c>
      <c r="B331" s="2">
        <v>-0.00148152485377484</v>
      </c>
    </row>
    <row r="332" spans="1:2">
      <c r="A332" s="2">
        <v>-0.0078081824478117</v>
      </c>
      <c r="B332" s="2">
        <v>-0.010423538344483</v>
      </c>
    </row>
    <row r="333" spans="1:2">
      <c r="A333" s="2">
        <v>0.0155558692386376</v>
      </c>
      <c r="B333" s="2">
        <v>0.00597024781072681</v>
      </c>
    </row>
    <row r="334" spans="1:2">
      <c r="A334" s="2">
        <v>-0.039353026206157</v>
      </c>
      <c r="B334" s="2">
        <v>0.00741265991078631</v>
      </c>
    </row>
    <row r="335" spans="1:2">
      <c r="A335" s="2">
        <v>-0.0338224659071242</v>
      </c>
      <c r="B335" s="2">
        <v>0</v>
      </c>
    </row>
    <row r="336" spans="1:2">
      <c r="A336" s="2">
        <v>0.00826939148250677</v>
      </c>
      <c r="B336" s="2">
        <v>0.00147566372131039</v>
      </c>
    </row>
    <row r="337" spans="1:2">
      <c r="A337" s="2">
        <v>-0.0214039086631535</v>
      </c>
      <c r="B337" s="2">
        <v>0.00588245272674869</v>
      </c>
    </row>
    <row r="338" spans="1:2">
      <c r="A338" s="2">
        <v>-0.00966191091173686</v>
      </c>
      <c r="B338" s="2">
        <v>-0.0162611265067168</v>
      </c>
    </row>
    <row r="339" spans="1:2">
      <c r="A339" s="2">
        <v>0.00725517088117202</v>
      </c>
      <c r="B339" s="2">
        <v>0.0206507362275932</v>
      </c>
    </row>
    <row r="340" spans="1:2">
      <c r="A340" s="2">
        <v>0.00240674003056506</v>
      </c>
      <c r="B340" s="2">
        <v>0.02593768520609</v>
      </c>
    </row>
    <row r="341" spans="1:2">
      <c r="A341" s="2">
        <v>0.0423592738391416</v>
      </c>
      <c r="B341" s="2">
        <v>-0.00284976350334571</v>
      </c>
    </row>
    <row r="342" spans="1:2">
      <c r="A342" s="2">
        <v>0.00115141060504184</v>
      </c>
      <c r="B342" s="2">
        <v>0</v>
      </c>
    </row>
    <row r="343" spans="1:2">
      <c r="A343" s="2">
        <v>-0.0150727491236499</v>
      </c>
      <c r="B343" s="2">
        <v>0</v>
      </c>
    </row>
    <row r="344" spans="1:2">
      <c r="A344" s="2">
        <v>0.013921338518608</v>
      </c>
      <c r="B344" s="2">
        <v>0.0127583344035901</v>
      </c>
    </row>
    <row r="345" spans="1:2">
      <c r="A345" s="2">
        <v>0.0227800283318199</v>
      </c>
      <c r="B345" s="2">
        <v>-0.00423471773285183</v>
      </c>
    </row>
    <row r="346" spans="1:2">
      <c r="A346" s="2">
        <v>-0.00564654238821005</v>
      </c>
      <c r="B346" s="2">
        <v>-0.0156815872295763</v>
      </c>
    </row>
    <row r="347" spans="1:2">
      <c r="A347" s="2">
        <v>0.00226244440396954</v>
      </c>
      <c r="B347" s="2">
        <v>0.0100077340621836</v>
      </c>
    </row>
    <row r="348" spans="1:2">
      <c r="A348" s="2">
        <v>-0.0136520891683273</v>
      </c>
      <c r="B348" s="2">
        <v>0.00213093283134476</v>
      </c>
    </row>
    <row r="349" spans="1:2">
      <c r="A349" s="2">
        <v>0.00228833051801222</v>
      </c>
      <c r="B349" s="2">
        <v>-0.00274757325058209</v>
      </c>
    </row>
    <row r="350" spans="1:2">
      <c r="A350" s="2">
        <v>0.00910131424634556</v>
      </c>
      <c r="B350" s="2">
        <v>0.00821875271315288</v>
      </c>
    </row>
    <row r="351" spans="1:2">
      <c r="A351" s="2">
        <v>-0.00567860696884334</v>
      </c>
      <c r="B351" s="2">
        <v>0</v>
      </c>
    </row>
    <row r="352" spans="1:2">
      <c r="A352" s="2">
        <v>0.00227531383713561</v>
      </c>
      <c r="B352" s="2">
        <v>0.00136348567248691</v>
      </c>
    </row>
    <row r="353" spans="1:2">
      <c r="A353" s="2">
        <v>-0.0524901826213967</v>
      </c>
      <c r="B353" s="2">
        <v>-0.0206472005838158</v>
      </c>
    </row>
    <row r="354" spans="1:2">
      <c r="A354" s="2">
        <v>0.0295006643966978</v>
      </c>
      <c r="B354" s="2">
        <v>0.0138125354487581</v>
      </c>
    </row>
    <row r="355" spans="1:2">
      <c r="A355" s="2">
        <v>0.00232288141613973</v>
      </c>
      <c r="B355" s="2">
        <v>0.0243914531241593</v>
      </c>
    </row>
    <row r="356" spans="1:2">
      <c r="A356" s="2">
        <v>-0.00232288141613964</v>
      </c>
      <c r="B356" s="2">
        <v>-0.00133974025729253</v>
      </c>
    </row>
    <row r="357" spans="1:2">
      <c r="A357" s="2">
        <v>-0.0046620131058113</v>
      </c>
      <c r="B357" s="2">
        <v>0.00401384805381019</v>
      </c>
    </row>
    <row r="358" spans="1:2">
      <c r="A358" s="2">
        <v>0.00466201310581137</v>
      </c>
      <c r="B358" s="2">
        <v>-0.00133616004196181</v>
      </c>
    </row>
    <row r="359" spans="1:2">
      <c r="A359" s="2">
        <v>0.0207142043875632</v>
      </c>
      <c r="B359" s="2">
        <v>0.00798892776017709</v>
      </c>
    </row>
    <row r="360" spans="1:2">
      <c r="A360" s="2">
        <v>-0.00342270727750228</v>
      </c>
      <c r="B360" s="2">
        <v>-0.00932687551473303</v>
      </c>
    </row>
    <row r="361" spans="1:2">
      <c r="A361" s="2">
        <v>-0.0289875368732523</v>
      </c>
      <c r="B361" s="2">
        <v>-0.00536976423681488</v>
      </c>
    </row>
    <row r="362" spans="1:2">
      <c r="A362" s="2">
        <v>-0.0238106486937186</v>
      </c>
      <c r="B362" s="2">
        <v>-0.00539734314827964</v>
      </c>
    </row>
    <row r="363" spans="1:2">
      <c r="A363" s="2">
        <v>0</v>
      </c>
      <c r="B363" s="2">
        <v>-0.00542805149359041</v>
      </c>
    </row>
    <row r="364" spans="1:2">
      <c r="A364" s="2">
        <v>-0.0145633641878966</v>
      </c>
      <c r="B364" s="2">
        <v>0.00542805149359032</v>
      </c>
    </row>
    <row r="365" spans="1:2">
      <c r="A365" s="2">
        <v>0.0121508177825125</v>
      </c>
      <c r="B365" s="2">
        <v>-0.00542805149359041</v>
      </c>
    </row>
    <row r="366" spans="1:2">
      <c r="A366" s="2">
        <v>-0.0219789067187752</v>
      </c>
      <c r="B366" s="2">
        <v>-0.00136162911041653</v>
      </c>
    </row>
    <row r="367" spans="1:2">
      <c r="A367" s="2">
        <v>-0.0186921330121525</v>
      </c>
      <c r="B367" s="2">
        <v>0.0202308957856192</v>
      </c>
    </row>
    <row r="368" spans="1:2">
      <c r="A368" s="2">
        <v>0.00125707119005111</v>
      </c>
      <c r="B368" s="2">
        <v>-0.00939083059012434</v>
      </c>
    </row>
    <row r="369" spans="1:2">
      <c r="A369" s="2">
        <v>-0.00125707119005109</v>
      </c>
      <c r="B369" s="2">
        <v>0.0147163038077669</v>
      </c>
    </row>
    <row r="370" spans="1:2">
      <c r="A370" s="2">
        <v>-0.00884402479645277</v>
      </c>
      <c r="B370" s="2">
        <v>0.00397661003255523</v>
      </c>
    </row>
    <row r="371" spans="1:2">
      <c r="A371" s="2">
        <v>-0.0205135398331029</v>
      </c>
      <c r="B371" s="2">
        <v>0.00527629476597985</v>
      </c>
    </row>
    <row r="372" spans="1:2">
      <c r="A372" s="2">
        <v>-0.00519481687710402</v>
      </c>
      <c r="B372" s="2">
        <v>-0.0293738463450403</v>
      </c>
    </row>
    <row r="373" spans="1:2">
      <c r="A373" s="2">
        <v>-0.0144264797102234</v>
      </c>
      <c r="B373" s="2">
        <v>0</v>
      </c>
    </row>
    <row r="374" spans="1:2">
      <c r="A374" s="2">
        <v>-0.017322218604357</v>
      </c>
      <c r="B374" s="2">
        <v>0.00270667477297821</v>
      </c>
    </row>
    <row r="375" spans="1:2">
      <c r="A375" s="2">
        <v>-0.0231145572995725</v>
      </c>
      <c r="B375" s="2">
        <v>-0.00270667477297811</v>
      </c>
    </row>
    <row r="376" spans="1:2">
      <c r="A376" s="2">
        <v>0.00411805660891755</v>
      </c>
      <c r="B376" s="2">
        <v>-0.0108991317253701</v>
      </c>
    </row>
    <row r="377" spans="1:2">
      <c r="A377" s="2">
        <v>0.0189965006906551</v>
      </c>
      <c r="B377" s="2">
        <v>0.00410021859612657</v>
      </c>
    </row>
    <row r="378" spans="1:2">
      <c r="A378" s="2">
        <v>0.010695289116748</v>
      </c>
      <c r="B378" s="2">
        <v>-0.00821875271315288</v>
      </c>
    </row>
    <row r="379" spans="1:2">
      <c r="A379" s="2">
        <v>-0.0106952891167479</v>
      </c>
      <c r="B379" s="2">
        <v>0.0150176658423965</v>
      </c>
    </row>
    <row r="380" spans="1:2">
      <c r="A380" s="2">
        <v>-0.0666913744986723</v>
      </c>
      <c r="B380" s="2">
        <v>-0.0150176658423964</v>
      </c>
    </row>
    <row r="381" spans="1:2">
      <c r="A381" s="2">
        <v>-0.00865806274311454</v>
      </c>
      <c r="B381" s="2">
        <v>-0.0464540312846355</v>
      </c>
    </row>
    <row r="382" spans="1:2">
      <c r="A382" s="2">
        <v>0.0425596144187959</v>
      </c>
      <c r="B382" s="2">
        <v>0.0298096049065663</v>
      </c>
    </row>
    <row r="383" spans="1:2">
      <c r="A383" s="2">
        <v>0.0124225199985571</v>
      </c>
      <c r="B383" s="2">
        <v>-0.0169246757402588</v>
      </c>
    </row>
    <row r="384" spans="1:2">
      <c r="A384" s="2">
        <v>0.00683529660585744</v>
      </c>
      <c r="B384" s="2">
        <v>0.0183224629751283</v>
      </c>
    </row>
    <row r="385" spans="1:2">
      <c r="A385" s="2">
        <v>0</v>
      </c>
      <c r="B385" s="2">
        <v>-0.0560079043840333</v>
      </c>
    </row>
    <row r="386" spans="1:2">
      <c r="A386" s="2">
        <v>0.0108402145528648</v>
      </c>
      <c r="B386" s="2">
        <v>-0.00741379200628797</v>
      </c>
    </row>
    <row r="387" spans="1:2">
      <c r="A387" s="2">
        <v>0.0173685060816442</v>
      </c>
      <c r="B387" s="2">
        <v>-0.02105271579765</v>
      </c>
    </row>
    <row r="388" spans="1:2">
      <c r="A388" s="2">
        <v>0.00132362693050835</v>
      </c>
      <c r="B388" s="2">
        <v>-0.00304449512133056</v>
      </c>
    </row>
    <row r="389" spans="1:2">
      <c r="A389" s="2">
        <v>0.00132187725791585</v>
      </c>
      <c r="B389" s="2">
        <v>0</v>
      </c>
    </row>
    <row r="390" spans="1:2">
      <c r="A390" s="2">
        <v>0</v>
      </c>
      <c r="B390" s="2">
        <v>0.00456327386562688</v>
      </c>
    </row>
    <row r="391" spans="1:2">
      <c r="A391" s="2">
        <v>0.00132013220492282</v>
      </c>
      <c r="B391" s="2">
        <v>-0.00761706625017694</v>
      </c>
    </row>
    <row r="392" spans="1:2">
      <c r="A392" s="2">
        <v>-0.00132013220492284</v>
      </c>
      <c r="B392" s="2">
        <v>-0.00153040044487707</v>
      </c>
    </row>
    <row r="393" spans="1:2">
      <c r="A393" s="2">
        <v>-0.0106242699202293</v>
      </c>
      <c r="B393" s="2">
        <v>0.00914746669505406</v>
      </c>
    </row>
    <row r="394" spans="1:2">
      <c r="A394" s="2">
        <v>-0.00401338331345868</v>
      </c>
      <c r="B394" s="2">
        <v>-0.0030398676865911</v>
      </c>
    </row>
    <row r="395" spans="1:2">
      <c r="A395" s="2">
        <v>0.0159577854386108</v>
      </c>
      <c r="B395" s="2">
        <v>0.00606894485492806</v>
      </c>
    </row>
    <row r="396" spans="1:2">
      <c r="A396" s="2">
        <v>0.00263504763800503</v>
      </c>
      <c r="B396" s="2">
        <v>0.00151189244704235</v>
      </c>
    </row>
    <row r="397" spans="1:2">
      <c r="A397" s="2">
        <v>0.0130720815673527</v>
      </c>
      <c r="B397" s="2">
        <v>0.00150961007853257</v>
      </c>
    </row>
    <row r="398" spans="1:2">
      <c r="A398" s="2">
        <v>-0.0012995453420855</v>
      </c>
      <c r="B398" s="2">
        <v>0</v>
      </c>
    </row>
    <row r="399" spans="1:2">
      <c r="A399" s="2">
        <v>-0.00521513567910816</v>
      </c>
      <c r="B399" s="2">
        <v>0.00751405460217609</v>
      </c>
    </row>
    <row r="400" spans="1:2">
      <c r="A400" s="2">
        <v>0.00130633591405546</v>
      </c>
      <c r="B400" s="2">
        <v>0.0104241704052402</v>
      </c>
    </row>
    <row r="401" spans="1:2">
      <c r="A401" s="2">
        <v>-0.00786373646021458</v>
      </c>
      <c r="B401" s="2">
        <v>0.00148055658292722</v>
      </c>
    </row>
    <row r="402" spans="1:2">
      <c r="A402" s="2">
        <v>0.0117725362252672</v>
      </c>
      <c r="B402" s="2">
        <v>-0.00593542423090183</v>
      </c>
    </row>
    <row r="403" spans="1:2">
      <c r="A403" s="2">
        <v>0</v>
      </c>
      <c r="B403" s="2">
        <v>-0.0119760227688304</v>
      </c>
    </row>
    <row r="404" spans="1:2">
      <c r="A404" s="2">
        <v>-0.00914441381899766</v>
      </c>
      <c r="B404" s="2">
        <v>-0.00301694466914391</v>
      </c>
    </row>
    <row r="405" spans="1:2">
      <c r="A405" s="2">
        <v>0.00131147559781066</v>
      </c>
      <c r="B405" s="2">
        <v>0</v>
      </c>
    </row>
    <row r="406" spans="1:2">
      <c r="A406" s="2">
        <v>-0.0118656632765009</v>
      </c>
      <c r="B406" s="2">
        <v>-0.00302607417443871</v>
      </c>
    </row>
    <row r="407" spans="1:2">
      <c r="A407" s="2">
        <v>-0.00132714020806246</v>
      </c>
      <c r="B407" s="2">
        <v>-0.00760389979330459</v>
      </c>
    </row>
    <row r="408" spans="1:2">
      <c r="A408" s="2">
        <v>-0.00132890385005375</v>
      </c>
      <c r="B408" s="2">
        <v>-0.00305846234269007</v>
      </c>
    </row>
    <row r="409" spans="1:2">
      <c r="A409" s="2">
        <v>-0.00266311741948366</v>
      </c>
      <c r="B409" s="2">
        <v>-0.00153274616074191</v>
      </c>
    </row>
    <row r="410" spans="1:2">
      <c r="A410" s="2">
        <v>0.00796816964917688</v>
      </c>
      <c r="B410" s="2">
        <v>0.00459120850343202</v>
      </c>
    </row>
    <row r="411" spans="1:2">
      <c r="A411" s="2">
        <v>-0.00930239266231356</v>
      </c>
      <c r="B411" s="2">
        <v>0</v>
      </c>
    </row>
    <row r="412" spans="1:2">
      <c r="A412" s="2">
        <v>0.00797876573180532</v>
      </c>
      <c r="B412" s="2">
        <v>0.00760389979330465</v>
      </c>
    </row>
    <row r="413" spans="1:2">
      <c r="A413" s="2">
        <v>0.00660068403135209</v>
      </c>
      <c r="B413" s="2">
        <v>0</v>
      </c>
    </row>
    <row r="414" spans="1:2">
      <c r="A414" s="2">
        <v>0</v>
      </c>
      <c r="B414" s="2">
        <v>-0.0106623621359946</v>
      </c>
    </row>
    <row r="415" spans="1:2">
      <c r="A415" s="2">
        <v>0.00786373646021445</v>
      </c>
      <c r="B415" s="2">
        <v>0.00914746669505406</v>
      </c>
    </row>
    <row r="416" spans="1:2">
      <c r="A416" s="2">
        <v>0</v>
      </c>
      <c r="B416" s="2">
        <v>0.00151489544094071</v>
      </c>
    </row>
    <row r="417" spans="1:2">
      <c r="A417" s="2">
        <v>-0.00261438057407082</v>
      </c>
      <c r="B417" s="2">
        <v>0.00302607417443862</v>
      </c>
    </row>
    <row r="418" spans="1:2">
      <c r="A418" s="2">
        <v>0.00130804466001539</v>
      </c>
      <c r="B418" s="2">
        <v>0.0105181651047384</v>
      </c>
    </row>
    <row r="419" spans="1:2">
      <c r="A419" s="2">
        <v>0.00651468102119367</v>
      </c>
      <c r="B419" s="2">
        <v>0.00149382675559358</v>
      </c>
    </row>
    <row r="420" spans="1:2">
      <c r="A420" s="2">
        <v>-0.00913248356327247</v>
      </c>
      <c r="B420" s="2">
        <v>-0.00748998123897636</v>
      </c>
    </row>
    <row r="421" spans="1:2">
      <c r="A421" s="2">
        <v>0.0194684928939345</v>
      </c>
      <c r="B421" s="2">
        <v>0.0104709568166188</v>
      </c>
    </row>
    <row r="422" spans="1:2">
      <c r="A422" s="2">
        <v>0.00256739550524573</v>
      </c>
      <c r="B422" s="2">
        <v>0.00888843927411838</v>
      </c>
    </row>
    <row r="423" spans="1:2">
      <c r="A423" s="2">
        <v>0.00128123015604854</v>
      </c>
      <c r="B423" s="2">
        <v>-0.00888843927411848</v>
      </c>
    </row>
    <row r="424" spans="1:2">
      <c r="A424" s="2">
        <v>0.00638164258952061</v>
      </c>
      <c r="B424" s="2">
        <v>0.0191611841980281</v>
      </c>
    </row>
    <row r="425" spans="1:2">
      <c r="A425" s="2">
        <v>0.00254129742867255</v>
      </c>
      <c r="B425" s="2">
        <v>-0.0371802258104412</v>
      </c>
    </row>
    <row r="426" spans="1:2">
      <c r="A426" s="2">
        <v>-0.00254129742867253</v>
      </c>
      <c r="B426" s="2">
        <v>0.00151418172739634</v>
      </c>
    </row>
    <row r="427" spans="1:2">
      <c r="A427" s="2">
        <v>-0.0115164420615591</v>
      </c>
      <c r="B427" s="2">
        <v>-0.0106461434185138</v>
      </c>
    </row>
    <row r="428" spans="1:2">
      <c r="A428" s="2">
        <v>0.00385356931598997</v>
      </c>
      <c r="B428" s="2">
        <v>0.00457719856358589</v>
      </c>
    </row>
    <row r="429" spans="1:2">
      <c r="A429" s="2">
        <v>0.0114724011622368</v>
      </c>
      <c r="B429" s="2">
        <v>0.00909044738050296</v>
      </c>
    </row>
    <row r="430" spans="1:2">
      <c r="A430" s="2">
        <v>0.0125946249204005</v>
      </c>
      <c r="B430" s="2">
        <v>0.00751405460217609</v>
      </c>
    </row>
    <row r="431" spans="1:2">
      <c r="A431" s="2">
        <v>-0.00376175992189168</v>
      </c>
      <c r="B431" s="2">
        <v>-0.0105355571277512</v>
      </c>
    </row>
    <row r="432" spans="1:2">
      <c r="A432" s="2">
        <v>0</v>
      </c>
      <c r="B432" s="2">
        <v>-0.00151418172739629</v>
      </c>
    </row>
    <row r="433" spans="1:2">
      <c r="A433" s="2">
        <v>0.01866886827103</v>
      </c>
      <c r="B433" s="2">
        <v>0.0150380660347707</v>
      </c>
    </row>
    <row r="434" spans="1:2">
      <c r="A434" s="2">
        <v>-0.00494438584546408</v>
      </c>
      <c r="B434" s="2">
        <v>-0.0180717402200075</v>
      </c>
    </row>
    <row r="435" spans="1:2">
      <c r="A435" s="2">
        <v>-0.00372439909098244</v>
      </c>
      <c r="B435" s="2">
        <v>0.00605974835967551</v>
      </c>
    </row>
    <row r="436" spans="1:2">
      <c r="A436" s="2">
        <v>0.00619964787952543</v>
      </c>
      <c r="B436" s="2">
        <v>0.00301694466914395</v>
      </c>
    </row>
    <row r="437" spans="1:2">
      <c r="A437" s="2">
        <v>0.00984017780151114</v>
      </c>
      <c r="B437" s="2">
        <v>0.00899504719118795</v>
      </c>
    </row>
    <row r="438" spans="1:2">
      <c r="A438" s="2">
        <v>-0.0147968174414395</v>
      </c>
      <c r="B438" s="2">
        <v>0.0029809755776425</v>
      </c>
    </row>
    <row r="439" spans="1:2">
      <c r="A439" s="2">
        <v>0</v>
      </c>
      <c r="B439" s="2">
        <v>-0.00298097557764248</v>
      </c>
    </row>
    <row r="440" spans="1:2">
      <c r="A440" s="2">
        <v>-0.00248756347180175</v>
      </c>
      <c r="B440" s="2">
        <v>-0.00748998123897636</v>
      </c>
    </row>
    <row r="441" spans="1:2">
      <c r="A441" s="2">
        <v>-0.00124610608024718</v>
      </c>
      <c r="B441" s="2">
        <v>-0.0105817589810311</v>
      </c>
    </row>
    <row r="442" spans="1:2">
      <c r="A442" s="2">
        <v>0.00621506040343419</v>
      </c>
      <c r="B442" s="2">
        <v>0.0105817589810311</v>
      </c>
    </row>
    <row r="443" spans="1:2">
      <c r="A443" s="2">
        <v>0.0147604155831207</v>
      </c>
      <c r="B443" s="2">
        <v>0.00150280413245276</v>
      </c>
    </row>
    <row r="444" spans="1:2">
      <c r="A444" s="2">
        <v>-0.00122174725032236</v>
      </c>
      <c r="B444" s="2">
        <v>0.0193306037421318</v>
      </c>
    </row>
    <row r="445" spans="1:2">
      <c r="A445" s="2">
        <v>0.00366077284968116</v>
      </c>
      <c r="B445" s="2">
        <v>0.00147184227060422</v>
      </c>
    </row>
    <row r="446" spans="1:2">
      <c r="A446" s="2">
        <v>0.00243309122464165</v>
      </c>
      <c r="B446" s="2">
        <v>-0.0328870091262198</v>
      </c>
    </row>
    <row r="447" spans="1:2">
      <c r="A447" s="2">
        <v>-0.00121580562088988</v>
      </c>
      <c r="B447" s="2">
        <v>-0.00304449512133056</v>
      </c>
    </row>
    <row r="448" spans="1:2">
      <c r="A448" s="2">
        <v>0.00121580562088995</v>
      </c>
      <c r="B448" s="2">
        <v>-0.00305379238455001</v>
      </c>
    </row>
    <row r="449" spans="1:2">
      <c r="A449" s="2">
        <v>-0.00854184571296279</v>
      </c>
      <c r="B449" s="2">
        <v>-0.00613410049338949</v>
      </c>
    </row>
    <row r="450" spans="1:2">
      <c r="A450" s="2">
        <v>-0.0024539889615667</v>
      </c>
      <c r="B450" s="2">
        <v>-0.00462660402235372</v>
      </c>
    </row>
    <row r="451" spans="1:2">
      <c r="A451" s="2">
        <v>-0.00246002584086231</v>
      </c>
      <c r="B451" s="2">
        <v>-0.0108777579971191</v>
      </c>
    </row>
    <row r="452" spans="1:2">
      <c r="A452" s="2">
        <v>-0.00990107098271157</v>
      </c>
      <c r="B452" s="2">
        <v>-0.00784408843608451</v>
      </c>
    </row>
    <row r="453" spans="1:2">
      <c r="A453" s="2">
        <v>0.0306208859563287</v>
      </c>
      <c r="B453" s="2">
        <v>0.00784408843608449</v>
      </c>
    </row>
    <row r="454" spans="1:2">
      <c r="A454" s="2">
        <v>0.00120554565534869</v>
      </c>
      <c r="B454" s="2">
        <v>0.00311886333864084</v>
      </c>
    </row>
    <row r="455" spans="1:2">
      <c r="A455" s="2">
        <v>0.00720291229405802</v>
      </c>
      <c r="B455" s="2">
        <v>0</v>
      </c>
    </row>
    <row r="456" spans="1:2">
      <c r="A456" s="2">
        <v>0.0213025807038682</v>
      </c>
      <c r="B456" s="2">
        <v>-0.00311886333864087</v>
      </c>
    </row>
    <row r="457" spans="1:2">
      <c r="A457" s="2">
        <v>-0.0070505579966668</v>
      </c>
      <c r="B457" s="2">
        <v>0.0139645378396022</v>
      </c>
    </row>
    <row r="458" spans="1:2">
      <c r="A458" s="2">
        <v>0.0483408269342825</v>
      </c>
      <c r="B458" s="2">
        <v>0.0273573243932641</v>
      </c>
    </row>
    <row r="459" spans="1:2">
      <c r="A459" s="2">
        <v>-0.00789626212222551</v>
      </c>
      <c r="B459" s="2">
        <v>-0.00150054910063949</v>
      </c>
    </row>
    <row r="460" spans="1:2">
      <c r="A460" s="2">
        <v>0.00113186203368333</v>
      </c>
      <c r="B460" s="2">
        <v>0.00299884992690062</v>
      </c>
    </row>
    <row r="461" spans="1:2">
      <c r="A461" s="2">
        <v>-0.0228842938335878</v>
      </c>
      <c r="B461" s="2">
        <v>0.00298832717962308</v>
      </c>
    </row>
    <row r="462" spans="1:2">
      <c r="A462" s="2">
        <v>-0.00464037955650223</v>
      </c>
      <c r="B462" s="2">
        <v>0</v>
      </c>
    </row>
    <row r="463" spans="1:2">
      <c r="A463" s="2">
        <v>-0.00116346726329807</v>
      </c>
      <c r="B463" s="2">
        <v>0.0133434266356082</v>
      </c>
    </row>
    <row r="464" spans="1:2">
      <c r="A464" s="2">
        <v>0.00116346726329805</v>
      </c>
      <c r="B464" s="2">
        <v>0.0044090437519239</v>
      </c>
    </row>
    <row r="465" spans="1:2">
      <c r="A465" s="2">
        <v>0.00232288141613973</v>
      </c>
      <c r="B465" s="2">
        <v>-0.0222390983934162</v>
      </c>
    </row>
    <row r="466" spans="1:2">
      <c r="A466" s="2">
        <v>0.00115942041973494</v>
      </c>
      <c r="B466" s="2">
        <v>0.00895476565042986</v>
      </c>
    </row>
    <row r="467" spans="1:2">
      <c r="A467" s="2">
        <v>-0.00581059159546563</v>
      </c>
      <c r="B467" s="2">
        <v>-0.00446813764454571</v>
      </c>
    </row>
    <row r="468" spans="1:2">
      <c r="A468" s="2">
        <v>-0.00116618089018251</v>
      </c>
      <c r="B468" s="2">
        <v>0.00891639980854424</v>
      </c>
    </row>
    <row r="469" spans="1:2">
      <c r="A469" s="2">
        <v>0.0104469899646554</v>
      </c>
      <c r="B469" s="2">
        <v>0.00147836777538619</v>
      </c>
    </row>
    <row r="470" spans="1:2">
      <c r="A470" s="2">
        <v>-0.018648559078073</v>
      </c>
      <c r="B470" s="2">
        <v>0</v>
      </c>
    </row>
    <row r="471" spans="1:2">
      <c r="A471" s="2">
        <v>0.00586511945239806</v>
      </c>
      <c r="B471" s="2">
        <v>0</v>
      </c>
    </row>
    <row r="472" spans="1:2">
      <c r="A472" s="2">
        <v>-0.00468934036338606</v>
      </c>
      <c r="B472" s="2">
        <v>-0.00592662993938476</v>
      </c>
    </row>
    <row r="473" spans="1:2">
      <c r="A473" s="2">
        <v>0.00585824756836807</v>
      </c>
      <c r="B473" s="2">
        <v>0.00740127720721531</v>
      </c>
    </row>
    <row r="474" spans="1:2">
      <c r="A474" s="2">
        <v>0.0023337233462201</v>
      </c>
      <c r="B474" s="2">
        <v>0.00881165512387686</v>
      </c>
    </row>
    <row r="475" spans="1:2">
      <c r="A475" s="2">
        <v>-0.00936775000360016</v>
      </c>
      <c r="B475" s="2">
        <v>-0.00586580106942542</v>
      </c>
    </row>
    <row r="476" spans="1:2">
      <c r="A476" s="2">
        <v>0.00936775000360024</v>
      </c>
      <c r="B476" s="2">
        <v>-0.00294585405445141</v>
      </c>
    </row>
    <row r="477" spans="1:2">
      <c r="A477" s="2">
        <v>-0.0188240852456356</v>
      </c>
      <c r="B477" s="2">
        <v>0.00147401178384732</v>
      </c>
    </row>
    <row r="478" spans="1:2">
      <c r="A478" s="2">
        <v>0.00710062154957637</v>
      </c>
      <c r="B478" s="2">
        <v>0.0131677215366951</v>
      </c>
    </row>
    <row r="479" spans="1:2">
      <c r="A479" s="2">
        <v>0.0117234636960592</v>
      </c>
      <c r="B479" s="2">
        <v>0.0115606655935395</v>
      </c>
    </row>
    <row r="480" spans="1:2">
      <c r="A480" s="2">
        <v>0.00116482249629311</v>
      </c>
      <c r="B480" s="2">
        <v>0.00424637976858876</v>
      </c>
    </row>
    <row r="481" spans="1:2">
      <c r="A481" s="2">
        <v>-0.00583772819568553</v>
      </c>
      <c r="B481" s="2">
        <v>-0.011363494347179</v>
      </c>
    </row>
    <row r="482" spans="1:2">
      <c r="A482" s="2">
        <v>-0.00351906521519573</v>
      </c>
      <c r="B482" s="2">
        <v>0.00427664477935216</v>
      </c>
    </row>
    <row r="483" spans="1:2">
      <c r="A483" s="2">
        <v>0</v>
      </c>
      <c r="B483" s="2">
        <v>-0.00427664477935225</v>
      </c>
    </row>
    <row r="484" spans="1:2">
      <c r="A484" s="2">
        <v>0.0151606402306814</v>
      </c>
      <c r="B484" s="2">
        <v>0.0281709608047734</v>
      </c>
    </row>
    <row r="485" spans="1:2">
      <c r="A485" s="2">
        <v>-0.00231749814036248</v>
      </c>
      <c r="B485" s="2">
        <v>-0.00278120975966908</v>
      </c>
    </row>
    <row r="486" spans="1:2">
      <c r="A486" s="2">
        <v>0.0126802851759092</v>
      </c>
      <c r="B486" s="2">
        <v>0.0165752956221086</v>
      </c>
    </row>
    <row r="487" spans="1:2">
      <c r="A487" s="2">
        <v>0.00684934184557477</v>
      </c>
      <c r="B487" s="2">
        <v>-0.0137940858624395</v>
      </c>
    </row>
    <row r="488" spans="1:2">
      <c r="A488" s="2">
        <v>0</v>
      </c>
      <c r="B488" s="2">
        <v>-0.00696832047941497</v>
      </c>
    </row>
    <row r="489" spans="1:2">
      <c r="A489" s="2">
        <v>-0.0125931830248269</v>
      </c>
      <c r="B489" s="2">
        <v>0.00696832047941502</v>
      </c>
    </row>
    <row r="490" spans="1:2">
      <c r="A490" s="2">
        <v>0.0227800283318199</v>
      </c>
      <c r="B490" s="2">
        <v>0.0027734960803433</v>
      </c>
    </row>
    <row r="491" spans="1:2">
      <c r="A491" s="2">
        <v>-0.00451468035452658</v>
      </c>
      <c r="B491" s="2">
        <v>-0.0027734960803434</v>
      </c>
    </row>
    <row r="492" spans="1:2">
      <c r="A492" s="2">
        <v>-0.0194180858571016</v>
      </c>
      <c r="B492" s="2">
        <v>-0.0139855393883148</v>
      </c>
    </row>
    <row r="493" spans="1:2">
      <c r="A493" s="2">
        <v>-0.00115406821810675</v>
      </c>
      <c r="B493" s="2">
        <v>0</v>
      </c>
    </row>
    <row r="494" spans="1:2">
      <c r="A494" s="2">
        <v>0.0340555044124954</v>
      </c>
      <c r="B494" s="2">
        <v>0.00841536316320981</v>
      </c>
    </row>
    <row r="495" spans="1:2">
      <c r="A495" s="2">
        <v>0.00445435034938037</v>
      </c>
      <c r="B495" s="2">
        <v>-0.00419882931557968</v>
      </c>
    </row>
    <row r="496" spans="1:2">
      <c r="A496" s="2">
        <v>0.0252344711785414</v>
      </c>
      <c r="B496" s="2">
        <v>0.00280068506126973</v>
      </c>
    </row>
    <row r="497" spans="1:2">
      <c r="A497" s="2">
        <v>-0.0130863372428938</v>
      </c>
      <c r="B497" s="2">
        <v>0.00557941709323134</v>
      </c>
    </row>
    <row r="498" spans="1:2">
      <c r="A498" s="2">
        <v>-0.0646117034713884</v>
      </c>
      <c r="B498" s="2">
        <v>-0.0267820574185897</v>
      </c>
    </row>
    <row r="499" spans="1:2">
      <c r="A499" s="2">
        <v>-0.0177204873213637</v>
      </c>
      <c r="B499" s="2">
        <v>-0.0348864285573135</v>
      </c>
    </row>
    <row r="500" spans="1:2">
      <c r="A500" s="2">
        <v>-0.00358209338250455</v>
      </c>
      <c r="B500" s="2">
        <v>0</v>
      </c>
    </row>
    <row r="501" spans="1:2">
      <c r="A501" s="2">
        <v>-0.0193242728264028</v>
      </c>
      <c r="B501" s="2">
        <v>0</v>
      </c>
    </row>
    <row r="502" spans="1:2">
      <c r="A502" s="2">
        <v>0.00607904607638219</v>
      </c>
      <c r="B502" s="2">
        <v>0.00589880291432496</v>
      </c>
    </row>
    <row r="503" spans="1:2">
      <c r="A503" s="2">
        <v>-0.00121285642520929</v>
      </c>
      <c r="B503" s="2">
        <v>-0.0088628716460467</v>
      </c>
    </row>
    <row r="504" spans="1:2">
      <c r="A504" s="2">
        <v>0</v>
      </c>
      <c r="B504" s="2">
        <v>0.00148313257838963</v>
      </c>
    </row>
    <row r="505" spans="1:2">
      <c r="A505" s="2">
        <v>0.00725517088117202</v>
      </c>
      <c r="B505" s="2">
        <v>-0.00743460476172148</v>
      </c>
    </row>
    <row r="506" spans="1:2">
      <c r="A506" s="2">
        <v>0.0119761910467156</v>
      </c>
      <c r="B506" s="2">
        <v>-0.00149420844629023</v>
      </c>
    </row>
    <row r="507" spans="1:2">
      <c r="A507" s="2">
        <v>-0.00477327875265766</v>
      </c>
      <c r="B507" s="2">
        <v>0.0014942084462902</v>
      </c>
    </row>
    <row r="508" spans="1:2">
      <c r="A508" s="2">
        <v>0.00477327875265759</v>
      </c>
      <c r="B508" s="2">
        <v>0</v>
      </c>
    </row>
    <row r="509" spans="1:2">
      <c r="A509" s="2">
        <v>0.00237812240496742</v>
      </c>
      <c r="B509" s="2">
        <v>-0.00149420844629023</v>
      </c>
    </row>
    <row r="510" spans="1:2">
      <c r="A510" s="2">
        <v>0.00945633524203544</v>
      </c>
      <c r="B510" s="2">
        <v>0.00596191472963608</v>
      </c>
    </row>
    <row r="511" spans="1:2">
      <c r="A511" s="2">
        <v>-0.00353565483230776</v>
      </c>
      <c r="B511" s="2">
        <v>0.00592502050260006</v>
      </c>
    </row>
    <row r="512" spans="1:2">
      <c r="A512" s="2">
        <v>0.0152316945954991</v>
      </c>
      <c r="B512" s="2">
        <v>0.00882376942330212</v>
      </c>
    </row>
    <row r="513" spans="1:2">
      <c r="A513" s="2">
        <v>0.0011621151801773</v>
      </c>
      <c r="B513" s="2">
        <v>-0.00440215237986943</v>
      </c>
    </row>
    <row r="514" spans="1:2">
      <c r="A514" s="2">
        <v>0.00347826437632479</v>
      </c>
      <c r="B514" s="2">
        <v>-0.0088628716460467</v>
      </c>
    </row>
    <row r="515" spans="1:2">
      <c r="A515" s="2">
        <v>-0.0305546683219725</v>
      </c>
      <c r="B515" s="2">
        <v>-0.00446106737132149</v>
      </c>
    </row>
    <row r="516" spans="1:2">
      <c r="A516" s="2">
        <v>0.0177414470095961</v>
      </c>
      <c r="B516" s="2">
        <v>0.00446106737132142</v>
      </c>
    </row>
    <row r="517" spans="1:2">
      <c r="A517" s="2">
        <v>-0.0249271066704706</v>
      </c>
      <c r="B517" s="2">
        <v>-0.00595147218333191</v>
      </c>
    </row>
    <row r="518" spans="1:2">
      <c r="A518" s="2">
        <v>-0.0072376673002305</v>
      </c>
      <c r="B518" s="2">
        <v>0.00298016358777532</v>
      </c>
    </row>
    <row r="519" spans="1:2">
      <c r="A519" s="2">
        <v>0.0168071183163812</v>
      </c>
      <c r="B519" s="2">
        <v>0.010363516296797</v>
      </c>
    </row>
    <row r="520" spans="1:2">
      <c r="A520" s="2">
        <v>0.0165293019512105</v>
      </c>
      <c r="B520" s="2">
        <v>-0.00590907512285071</v>
      </c>
    </row>
    <row r="521" spans="1:2">
      <c r="A521" s="2">
        <v>0.00700119545898356</v>
      </c>
      <c r="B521" s="2">
        <v>0.00884979452544097</v>
      </c>
    </row>
    <row r="522" spans="1:2">
      <c r="A522" s="2">
        <v>0.00810658753298849</v>
      </c>
      <c r="B522" s="2">
        <v>0.0014678975665666</v>
      </c>
    </row>
    <row r="523" spans="1:2">
      <c r="A523" s="2">
        <v>-0.00578370611684881</v>
      </c>
      <c r="B523" s="2">
        <v>0.00875781578465537</v>
      </c>
    </row>
    <row r="524" spans="1:2">
      <c r="A524" s="2">
        <v>0.00808785460169891</v>
      </c>
      <c r="B524" s="2">
        <v>0.00290384111814174</v>
      </c>
    </row>
    <row r="525" spans="1:2">
      <c r="A525" s="2">
        <v>-0.00115141060504181</v>
      </c>
      <c r="B525" s="2">
        <v>0</v>
      </c>
    </row>
    <row r="526" spans="1:2">
      <c r="A526" s="2">
        <v>-0.00925932541279671</v>
      </c>
      <c r="B526" s="2">
        <v>-0.0101974575472781</v>
      </c>
    </row>
    <row r="527" spans="1:2">
      <c r="A527" s="2">
        <v>0.0046403795565023</v>
      </c>
      <c r="B527" s="2">
        <v>-0.0103009552941943</v>
      </c>
    </row>
    <row r="528" spans="1:2">
      <c r="A528" s="2">
        <v>0.0115076068514799</v>
      </c>
      <c r="B528" s="2">
        <v>0.0132260222825427</v>
      </c>
    </row>
    <row r="529" spans="1:2">
      <c r="A529" s="2">
        <v>-0.0420622751734524</v>
      </c>
      <c r="B529" s="2">
        <v>-0.0147069584358749</v>
      </c>
    </row>
    <row r="530" spans="1:2">
      <c r="A530" s="2">
        <v>0</v>
      </c>
      <c r="B530" s="2">
        <v>0</v>
      </c>
    </row>
    <row r="531" spans="1:2">
      <c r="A531" s="2">
        <v>-0.0168475705726114</v>
      </c>
      <c r="B531" s="2">
        <v>-0.00147216153958101</v>
      </c>
    </row>
    <row r="532" spans="1:2">
      <c r="A532" s="2">
        <v>-0.0220867874028434</v>
      </c>
      <c r="B532" s="2">
        <v>-0.00442795877711725</v>
      </c>
    </row>
    <row r="533" spans="1:2">
      <c r="A533" s="2">
        <v>-0.00248447332766194</v>
      </c>
      <c r="B533" s="2">
        <v>0.00295519637611283</v>
      </c>
    </row>
    <row r="534" spans="1:2">
      <c r="A534" s="2">
        <v>-0.0062383234126917</v>
      </c>
      <c r="B534" s="2">
        <v>0.00441492140604435</v>
      </c>
    </row>
    <row r="535" spans="1:2">
      <c r="A535" s="2">
        <v>-0.0113280003052075</v>
      </c>
      <c r="B535" s="2">
        <v>-0.0162852934714213</v>
      </c>
    </row>
    <row r="536" spans="1:2">
      <c r="A536" s="2">
        <v>0.0100756519887416</v>
      </c>
      <c r="B536" s="2">
        <v>0</v>
      </c>
    </row>
    <row r="537" spans="1:2">
      <c r="A537" s="2">
        <v>0</v>
      </c>
      <c r="B537" s="2">
        <v>0.0162852934714213</v>
      </c>
    </row>
    <row r="538" spans="1:2">
      <c r="A538" s="2">
        <v>0.00997514505681952</v>
      </c>
      <c r="B538" s="2">
        <v>0.00439551551910626</v>
      </c>
    </row>
    <row r="539" spans="1:2">
      <c r="A539" s="2">
        <v>0.0111043707342344</v>
      </c>
      <c r="B539" s="2">
        <v>-0.00292923616212115</v>
      </c>
    </row>
    <row r="540" spans="1:2">
      <c r="A540" s="2">
        <v>0.00733499621156547</v>
      </c>
      <c r="B540" s="2">
        <v>0.0174434763267009</v>
      </c>
    </row>
    <row r="541" spans="1:2">
      <c r="A541" s="2">
        <v>-0.00121876919412945</v>
      </c>
      <c r="B541" s="2">
        <v>0.00860818614670048</v>
      </c>
    </row>
    <row r="542" spans="1:2">
      <c r="A542" s="2">
        <v>-0.0334811186234508</v>
      </c>
      <c r="B542" s="2">
        <v>-0.0143889357472702</v>
      </c>
    </row>
    <row r="543" spans="1:2">
      <c r="A543" s="2">
        <v>0.00126023961228777</v>
      </c>
      <c r="B543" s="2">
        <v>-0.00873349056401011</v>
      </c>
    </row>
    <row r="544" spans="1:2">
      <c r="A544" s="2">
        <v>0.018715455811356</v>
      </c>
      <c r="B544" s="2">
        <v>0.00145985313905551</v>
      </c>
    </row>
    <row r="545" spans="1:2">
      <c r="A545" s="2">
        <v>0.00123533060799281</v>
      </c>
      <c r="B545" s="2">
        <v>-0.00585536865816183</v>
      </c>
    </row>
    <row r="546" spans="1:2">
      <c r="A546" s="2">
        <v>0.0195605258544936</v>
      </c>
      <c r="B546" s="2">
        <v>0.0102252780063155</v>
      </c>
    </row>
    <row r="547" spans="1:2">
      <c r="A547" s="2">
        <v>-0.009732436918231</v>
      </c>
      <c r="B547" s="2">
        <v>-0.0058297624872092</v>
      </c>
    </row>
    <row r="548" spans="1:2">
      <c r="A548" s="2">
        <v>0.00973243691823105</v>
      </c>
      <c r="B548" s="2">
        <v>-0.0147280098446253</v>
      </c>
    </row>
    <row r="549" spans="1:2">
      <c r="A549" s="2">
        <v>-0.00242424361150639</v>
      </c>
      <c r="B549" s="2">
        <v>0.0147280098446254</v>
      </c>
    </row>
    <row r="550" spans="1:2">
      <c r="A550" s="2">
        <v>-0.010982416668609</v>
      </c>
      <c r="B550" s="2">
        <v>0.00145985313905551</v>
      </c>
    </row>
    <row r="551" spans="1:2">
      <c r="A551" s="2">
        <v>-0.0235889273964797</v>
      </c>
      <c r="B551" s="2">
        <v>-0.00585536865816183</v>
      </c>
    </row>
    <row r="552" spans="1:2">
      <c r="A552" s="2">
        <v>-0.017744445299072</v>
      </c>
      <c r="B552" s="2">
        <v>0.00293196999072407</v>
      </c>
    </row>
    <row r="553" spans="1:2">
      <c r="A553" s="2">
        <v>-0.0025608208616737</v>
      </c>
      <c r="B553" s="2">
        <v>0.00583982501226588</v>
      </c>
    </row>
    <row r="554" spans="1:2">
      <c r="A554" s="2">
        <v>0</v>
      </c>
      <c r="B554" s="2">
        <v>0.0101379606806961</v>
      </c>
    </row>
    <row r="555" spans="1:2">
      <c r="A555" s="2">
        <v>0.00256082086167365</v>
      </c>
      <c r="B555" s="2">
        <v>0.00143883263344813</v>
      </c>
    </row>
    <row r="556" spans="1:2">
      <c r="A556" s="2">
        <v>-0.00384369467456283</v>
      </c>
      <c r="B556" s="2">
        <v>-0.00288127410790431</v>
      </c>
    </row>
    <row r="557" spans="1:2">
      <c r="A557" s="2">
        <v>0</v>
      </c>
      <c r="B557" s="2">
        <v>0.0100506276211566</v>
      </c>
    </row>
    <row r="558" spans="1:2">
      <c r="A558" s="2">
        <v>0.0549451548063216</v>
      </c>
      <c r="B558" s="2">
        <v>0.00427646377820689</v>
      </c>
    </row>
    <row r="559" spans="1:2">
      <c r="A559" s="2">
        <v>0.00726395445822506</v>
      </c>
      <c r="B559" s="2">
        <v>0.00567415306495623</v>
      </c>
    </row>
    <row r="560" spans="1:2">
      <c r="A560" s="2">
        <v>-0.0109158148769961</v>
      </c>
      <c r="B560" s="2">
        <v>-0.0257903626746109</v>
      </c>
    </row>
    <row r="561" spans="1:2">
      <c r="A561" s="2">
        <v>0.00850035476539253</v>
      </c>
      <c r="B561" s="2">
        <v>-0.00290640099594878</v>
      </c>
    </row>
    <row r="562" spans="1:2">
      <c r="A562" s="2">
        <v>0.0227146645825319</v>
      </c>
      <c r="B562" s="2">
        <v>0.0130150876840605</v>
      </c>
    </row>
    <row r="563" spans="1:2">
      <c r="A563" s="2">
        <v>0.014084739881739</v>
      </c>
      <c r="B563" s="2">
        <v>0.0156816759864991</v>
      </c>
    </row>
    <row r="564" spans="1:2">
      <c r="A564" s="2">
        <v>-0.0452997592296635</v>
      </c>
      <c r="B564" s="2">
        <v>0.00985108637126586</v>
      </c>
    </row>
    <row r="565" spans="1:2">
      <c r="A565" s="2">
        <v>-0.0246926125903715</v>
      </c>
      <c r="B565" s="2">
        <v>-0.00843869181222137</v>
      </c>
    </row>
    <row r="566" spans="1:2">
      <c r="A566" s="2">
        <v>0.0246926125903714</v>
      </c>
      <c r="B566" s="2">
        <v>0.00282181629910228</v>
      </c>
    </row>
    <row r="567" spans="1:2">
      <c r="A567" s="2">
        <v>-0.0122700925918144</v>
      </c>
      <c r="B567" s="2">
        <v>-0.0141848277013097</v>
      </c>
    </row>
    <row r="568" spans="1:2">
      <c r="A568" s="2">
        <v>-0.0136733019002098</v>
      </c>
      <c r="B568" s="2">
        <v>0.0127749148823317</v>
      </c>
    </row>
    <row r="569" spans="1:2">
      <c r="A569" s="2">
        <v>-0.0382699762606307</v>
      </c>
      <c r="B569" s="2">
        <v>-0.00707802532759463</v>
      </c>
    </row>
    <row r="570" spans="1:2">
      <c r="A570" s="2">
        <v>0.0142029501779935</v>
      </c>
      <c r="B570" s="2">
        <v>-0.0346848288505824</v>
      </c>
    </row>
    <row r="571" spans="1:2">
      <c r="A571" s="2">
        <v>0.00511510066677041</v>
      </c>
      <c r="B571" s="2">
        <v>-0.00590012031669827</v>
      </c>
    </row>
    <row r="572" spans="1:2">
      <c r="A572" s="2">
        <v>0</v>
      </c>
      <c r="B572" s="2">
        <v>0.00590012031669821</v>
      </c>
    </row>
    <row r="573" spans="1:2">
      <c r="A573" s="2">
        <v>0.0642195927342938</v>
      </c>
      <c r="B573" s="2">
        <v>-0.0148152960059625</v>
      </c>
    </row>
    <row r="574" spans="1:2">
      <c r="A574" s="2">
        <v>0.0715414552174981</v>
      </c>
      <c r="B574" s="2">
        <v>0.0294142995545378</v>
      </c>
    </row>
    <row r="575" spans="1:2">
      <c r="A575" s="2">
        <v>-0.00670393572219022</v>
      </c>
      <c r="B575" s="2">
        <v>0.0186653995254771</v>
      </c>
    </row>
    <row r="576" spans="1:2">
      <c r="A576" s="2">
        <v>-0.00224466985382386</v>
      </c>
      <c r="B576" s="2">
        <v>-0.00142396218749945</v>
      </c>
    </row>
    <row r="577" spans="1:2">
      <c r="A577" s="2">
        <v>0</v>
      </c>
      <c r="B577" s="2">
        <v>0.0294766735965428</v>
      </c>
    </row>
    <row r="578" spans="1:2">
      <c r="A578" s="2">
        <v>-0.0459851132418234</v>
      </c>
      <c r="B578" s="2">
        <v>-0.0125274719728213</v>
      </c>
    </row>
    <row r="579" spans="1:2">
      <c r="A579" s="2">
        <v>0.018648559078073</v>
      </c>
      <c r="B579" s="2">
        <v>0.034416172754004</v>
      </c>
    </row>
    <row r="580" spans="1:2">
      <c r="A580" s="2">
        <v>0.0273365541637504</v>
      </c>
      <c r="B580" s="2">
        <v>0.0121047913518825</v>
      </c>
    </row>
    <row r="581" spans="1:2">
      <c r="A581" s="2">
        <v>0.0233214345337728</v>
      </c>
      <c r="B581" s="2">
        <v>0.00533228651302361</v>
      </c>
    </row>
    <row r="582" spans="1:2">
      <c r="A582" s="2">
        <v>0.0292070517462663</v>
      </c>
      <c r="B582" s="2">
        <v>0.00794830133923238</v>
      </c>
    </row>
    <row r="583" spans="1:2">
      <c r="A583" s="2">
        <v>0.0137641135391656</v>
      </c>
      <c r="B583" s="2">
        <v>-0.00396554899598833</v>
      </c>
    </row>
    <row r="584" spans="1:2">
      <c r="A584" s="2">
        <v>-0.00315956029036848</v>
      </c>
      <c r="B584" s="2">
        <v>-0.0146773414986496</v>
      </c>
    </row>
    <row r="585" spans="1:2">
      <c r="A585" s="2">
        <v>0.0125787822068602</v>
      </c>
      <c r="B585" s="2">
        <v>0</v>
      </c>
    </row>
    <row r="586" spans="1:2">
      <c r="A586" s="2">
        <v>-0.0210534091978324</v>
      </c>
      <c r="B586" s="2">
        <v>-0.00945342017541647</v>
      </c>
    </row>
    <row r="587" spans="1:2">
      <c r="A587" s="2">
        <v>-0.0204198390087427</v>
      </c>
      <c r="B587" s="2">
        <v>0.00676216441086822</v>
      </c>
    </row>
    <row r="588" spans="1:2">
      <c r="A588" s="2">
        <v>-0.0331156087844975</v>
      </c>
      <c r="B588" s="2">
        <v>-0.0204237756969302</v>
      </c>
    </row>
    <row r="589" spans="1:2">
      <c r="A589" s="2">
        <v>0.00112170510920017</v>
      </c>
      <c r="B589" s="2">
        <v>0.0231150314614785</v>
      </c>
    </row>
    <row r="590" spans="1:2">
      <c r="A590" s="2">
        <v>-0.0124085066438298</v>
      </c>
      <c r="B590" s="2">
        <v>-0.00539121202250151</v>
      </c>
    </row>
    <row r="591" spans="1:2">
      <c r="A591" s="2">
        <v>0.0378664393393419</v>
      </c>
      <c r="B591" s="2">
        <v>0.0213912128081024</v>
      </c>
    </row>
    <row r="592" spans="1:2">
      <c r="A592" s="2">
        <v>-0.0054794657646256</v>
      </c>
      <c r="B592" s="2">
        <v>-0.0186912565501492</v>
      </c>
    </row>
    <row r="593" spans="1:2">
      <c r="A593" s="2">
        <v>-0.0222231367847102</v>
      </c>
      <c r="B593" s="2">
        <v>0.00805355840693033</v>
      </c>
    </row>
    <row r="594" spans="1:2">
      <c r="A594" s="2">
        <v>0.013393057336438</v>
      </c>
      <c r="B594" s="2">
        <v>0.0237786791461325</v>
      </c>
    </row>
    <row r="595" spans="1:2">
      <c r="A595" s="2">
        <v>-0.00221975673831289</v>
      </c>
      <c r="B595" s="2">
        <v>-0.00654820578285641</v>
      </c>
    </row>
    <row r="596" spans="1:2">
      <c r="A596" s="2">
        <v>0.0434851119397389</v>
      </c>
      <c r="B596" s="2">
        <v>0.0195187388363298</v>
      </c>
    </row>
    <row r="597" spans="1:2">
      <c r="A597" s="2">
        <v>0.0210534091978323</v>
      </c>
      <c r="B597" s="2">
        <v>-0.00128992082129319</v>
      </c>
    </row>
    <row r="598" spans="1:2">
      <c r="A598" s="2">
        <v>0.0448140157897926</v>
      </c>
      <c r="B598" s="2">
        <v>0.00643166492270182</v>
      </c>
    </row>
    <row r="599" spans="1:2">
      <c r="A599" s="2">
        <v>0.00991088389945396</v>
      </c>
      <c r="B599" s="2">
        <v>0.0038386926695604</v>
      </c>
    </row>
    <row r="600" spans="1:2">
      <c r="A600" s="2">
        <v>-0.0269881447176469</v>
      </c>
      <c r="B600" s="2">
        <v>0.00763345948792252</v>
      </c>
    </row>
    <row r="601" spans="1:2">
      <c r="A601" s="2">
        <v>-0.00813839690297116</v>
      </c>
      <c r="B601" s="2">
        <v>0</v>
      </c>
    </row>
    <row r="602" spans="1:2">
      <c r="A602" s="2">
        <v>0.0311739673047948</v>
      </c>
      <c r="B602" s="2">
        <v>0.00757563093739016</v>
      </c>
    </row>
    <row r="603" spans="1:2">
      <c r="A603" s="2">
        <v>-0.0301530381706876</v>
      </c>
      <c r="B603" s="2">
        <v>-0.0012590731939054</v>
      </c>
    </row>
    <row r="604" spans="1:2">
      <c r="A604" s="2">
        <v>0.0613446506486947</v>
      </c>
      <c r="B604" s="2">
        <v>-0.00378541384192766</v>
      </c>
    </row>
    <row r="605" spans="1:2">
      <c r="A605" s="2">
        <v>0.0265167051426397</v>
      </c>
      <c r="B605" s="2">
        <v>0.015056431199155</v>
      </c>
    </row>
    <row r="606" spans="1:2">
      <c r="A606" s="2">
        <v>-0.0188684843043828</v>
      </c>
      <c r="B606" s="2">
        <v>-0.0100119441633218</v>
      </c>
    </row>
    <row r="607" spans="1:2">
      <c r="A607" s="2">
        <v>0.0281708769666962</v>
      </c>
      <c r="B607" s="2">
        <v>0.00626903574360375</v>
      </c>
    </row>
    <row r="608" spans="1:2">
      <c r="A608" s="2">
        <v>0.0201656695945944</v>
      </c>
      <c r="B608" s="2">
        <v>-0.00626903574360367</v>
      </c>
    </row>
    <row r="609" spans="1:2">
      <c r="A609" s="2">
        <v>0.0144146640021847</v>
      </c>
      <c r="B609" s="2">
        <v>0.00626903574360375</v>
      </c>
    </row>
    <row r="610" spans="1:2">
      <c r="A610" s="2">
        <v>-0.0107914716327643</v>
      </c>
      <c r="B610" s="2">
        <v>0.0012496362393459</v>
      </c>
    </row>
    <row r="611" spans="1:2">
      <c r="A611" s="2">
        <v>-0.0109091991003536</v>
      </c>
      <c r="B611" s="2">
        <v>-0.0291347063638052</v>
      </c>
    </row>
    <row r="612" spans="1:2">
      <c r="A612" s="2">
        <v>-0.00182982667707612</v>
      </c>
      <c r="B612" s="2">
        <v>0</v>
      </c>
    </row>
    <row r="613" spans="1:2">
      <c r="A613" s="2">
        <v>0</v>
      </c>
      <c r="B613" s="2">
        <v>-0.00515362558767814</v>
      </c>
    </row>
    <row r="614" spans="1:2">
      <c r="A614" s="2">
        <v>0.00182982667707616</v>
      </c>
      <c r="B614" s="2">
        <v>0.00643857571977642</v>
      </c>
    </row>
    <row r="615" spans="1:2">
      <c r="A615" s="2">
        <v>-0.0110295235754997</v>
      </c>
      <c r="B615" s="2">
        <v>-0.0392726259343563</v>
      </c>
    </row>
    <row r="616" spans="1:2">
      <c r="A616" s="2">
        <v>0.0237454079008024</v>
      </c>
      <c r="B616" s="2">
        <v>-0.00267326772141509</v>
      </c>
    </row>
    <row r="617" spans="1:2">
      <c r="A617" s="2">
        <v>-0.0163788920840397</v>
      </c>
      <c r="B617" s="2">
        <v>-0.0161943370357127</v>
      </c>
    </row>
    <row r="618" spans="1:2">
      <c r="A618" s="2">
        <v>0.0181823190831903</v>
      </c>
      <c r="B618" s="2">
        <v>-0.0109447585595067</v>
      </c>
    </row>
    <row r="619" spans="1:2">
      <c r="A619" s="2">
        <v>0.00896866998276032</v>
      </c>
      <c r="B619" s="2">
        <v>0.00274817010462807</v>
      </c>
    </row>
    <row r="620" spans="1:2">
      <c r="A620" s="2">
        <v>0.0141846349919564</v>
      </c>
      <c r="B620" s="2">
        <v>0.00547088250624559</v>
      </c>
    </row>
    <row r="621" spans="1:2">
      <c r="A621" s="2">
        <v>0.0713375384462056</v>
      </c>
      <c r="B621" s="2">
        <v>0.00408433202113904</v>
      </c>
    </row>
    <row r="622" spans="1:2">
      <c r="A622" s="2">
        <v>0.0306722995330836</v>
      </c>
      <c r="B622" s="2">
        <v>-0.00681603195950293</v>
      </c>
    </row>
    <row r="623" spans="1:2">
      <c r="A623" s="2">
        <v>-0.0192622327950527</v>
      </c>
      <c r="B623" s="2">
        <v>-0.00411232356562735</v>
      </c>
    </row>
    <row r="624" spans="1:2">
      <c r="A624" s="2">
        <v>-0.00813674139306171</v>
      </c>
      <c r="B624" s="2">
        <v>0.00820780516213505</v>
      </c>
    </row>
    <row r="625" spans="1:2">
      <c r="A625" s="2">
        <v>-0.00491401480242904</v>
      </c>
      <c r="B625" s="2">
        <v>0.0013619242904891</v>
      </c>
    </row>
    <row r="626" spans="1:2">
      <c r="A626" s="2">
        <v>-0.00493828164058257</v>
      </c>
      <c r="B626" s="2">
        <v>-0.0054574058869968</v>
      </c>
    </row>
    <row r="627" spans="1:2">
      <c r="A627" s="2">
        <v>0</v>
      </c>
      <c r="B627" s="2">
        <v>0</v>
      </c>
    </row>
    <row r="628" spans="1:2">
      <c r="A628" s="2">
        <v>0.0356601803988843</v>
      </c>
      <c r="B628" s="2">
        <v>0.0189713096813518</v>
      </c>
    </row>
    <row r="629" spans="1:2">
      <c r="A629" s="2">
        <v>0.0015910902322419</v>
      </c>
      <c r="B629" s="2">
        <v>0.00535370096277263</v>
      </c>
    </row>
    <row r="630" spans="1:2">
      <c r="A630" s="2">
        <v>0.00158856268513774</v>
      </c>
      <c r="B630" s="2">
        <v>-0.0256943929317374</v>
      </c>
    </row>
    <row r="631" spans="1:2">
      <c r="A631" s="2">
        <v>-0.0471248848503707</v>
      </c>
      <c r="B631" s="2">
        <v>-0.00549342698154272</v>
      </c>
    </row>
    <row r="632" spans="1:2">
      <c r="A632" s="2">
        <v>0.0295103381493885</v>
      </c>
      <c r="B632" s="2">
        <v>0.0143581851531209</v>
      </c>
    </row>
    <row r="633" spans="1:2">
      <c r="A633" s="2">
        <v>0.0144348937836025</v>
      </c>
      <c r="B633" s="2">
        <v>-0.0013142971812721</v>
      </c>
    </row>
    <row r="634" spans="1:2">
      <c r="A634" s="2">
        <v>0.00317965291737981</v>
      </c>
      <c r="B634" s="2">
        <v>0.0259745218547587</v>
      </c>
    </row>
    <row r="635" spans="1:2">
      <c r="A635" s="2">
        <v>-0.0672936357339916</v>
      </c>
      <c r="B635" s="2">
        <v>-0.00772119370216311</v>
      </c>
    </row>
    <row r="636" spans="1:2">
      <c r="A636" s="2">
        <v>-0.0240561428542363</v>
      </c>
      <c r="B636" s="2">
        <v>-0.022209520962601</v>
      </c>
    </row>
    <row r="637" spans="1:2">
      <c r="A637" s="2">
        <v>0.0257524961024148</v>
      </c>
      <c r="B637" s="2">
        <v>-0.00928999848851727</v>
      </c>
    </row>
    <row r="638" spans="1:2">
      <c r="A638" s="2">
        <v>-0.00680274732275252</v>
      </c>
      <c r="B638" s="2">
        <v>-0.00668874215847279</v>
      </c>
    </row>
    <row r="639" spans="1:2">
      <c r="A639" s="2">
        <v>0.0084962278290856</v>
      </c>
      <c r="B639" s="2">
        <v>-0.012154246042847</v>
      </c>
    </row>
    <row r="640" spans="1:2">
      <c r="A640" s="2">
        <v>-0.00169348050633303</v>
      </c>
      <c r="B640" s="2">
        <v>-0.00135897109891312</v>
      </c>
    </row>
    <row r="641" spans="1:2">
      <c r="A641" s="2">
        <v>-0.0222802703916656</v>
      </c>
      <c r="B641" s="2">
        <v>-0.0123206265731016</v>
      </c>
    </row>
    <row r="642" spans="1:2">
      <c r="A642" s="2">
        <v>0.013769580723757</v>
      </c>
      <c r="B642" s="2">
        <v>0</v>
      </c>
    </row>
    <row r="643" spans="1:2">
      <c r="A643" s="2">
        <v>0.00511510066677041</v>
      </c>
      <c r="B643" s="2">
        <v>-0.00275882326740102</v>
      </c>
    </row>
    <row r="644" spans="1:2">
      <c r="A644" s="2">
        <v>0.00339558900113811</v>
      </c>
      <c r="B644" s="2">
        <v>-0.00138151062550844</v>
      </c>
    </row>
    <row r="645" spans="1:2">
      <c r="A645" s="2">
        <v>-0.0450682854017062</v>
      </c>
      <c r="B645" s="2">
        <v>0.0137359651653189</v>
      </c>
    </row>
    <row r="646" spans="1:2">
      <c r="A646" s="2">
        <v>-0.00177462335836849</v>
      </c>
      <c r="B646" s="2">
        <v>-0.00273244119472732</v>
      </c>
    </row>
    <row r="647" spans="1:2">
      <c r="A647" s="2">
        <v>-0.0215448189867759</v>
      </c>
      <c r="B647" s="2">
        <v>0.00545743649541957</v>
      </c>
    </row>
    <row r="648" spans="1:2">
      <c r="A648" s="2">
        <v>-0.0220192382439173</v>
      </c>
      <c r="B648" s="2">
        <v>-0.00956939347638244</v>
      </c>
    </row>
    <row r="649" spans="1:2">
      <c r="A649" s="2">
        <v>-0.00185701074721277</v>
      </c>
      <c r="B649" s="2">
        <v>-0.00966185225469528</v>
      </c>
    </row>
    <row r="650" spans="1:2">
      <c r="A650" s="2">
        <v>0.00371057939653555</v>
      </c>
      <c r="B650" s="2">
        <v>-0.0167832859467541</v>
      </c>
    </row>
    <row r="651" spans="1:2">
      <c r="A651" s="2">
        <v>0.00921665510492405</v>
      </c>
      <c r="B651" s="2">
        <v>-0.00565813289222569</v>
      </c>
    </row>
    <row r="652" spans="1:2">
      <c r="A652" s="2">
        <v>0.0289351108594522</v>
      </c>
      <c r="B652" s="2">
        <v>-0.00997863971785693</v>
      </c>
    </row>
    <row r="653" spans="1:2">
      <c r="A653" s="2">
        <v>0.00710482562374458</v>
      </c>
      <c r="B653" s="2">
        <v>0.0113953983834947</v>
      </c>
    </row>
    <row r="654" spans="1:2">
      <c r="A654" s="2">
        <v>-0.0106762579913418</v>
      </c>
      <c r="B654" s="2">
        <v>0.00141630958361528</v>
      </c>
    </row>
    <row r="655" spans="1:2">
      <c r="A655" s="2">
        <v>-0.0162311949285826</v>
      </c>
      <c r="B655" s="2">
        <v>0.0042338353633846</v>
      </c>
    </row>
    <row r="656" spans="1:2">
      <c r="A656" s="2">
        <v>0</v>
      </c>
      <c r="B656" s="2">
        <v>0.0125965341563154</v>
      </c>
    </row>
    <row r="657" spans="1:2">
      <c r="A657" s="2">
        <v>0.00724640852076725</v>
      </c>
      <c r="B657" s="2">
        <v>-0.0182466791033154</v>
      </c>
    </row>
    <row r="658" spans="1:2">
      <c r="A658" s="2">
        <v>0.00898478640781526</v>
      </c>
      <c r="B658" s="2">
        <v>-0.00141675866563763</v>
      </c>
    </row>
    <row r="659" spans="1:2">
      <c r="A659" s="2">
        <v>-0.0071813594086647</v>
      </c>
      <c r="B659" s="2">
        <v>0.00141675866563774</v>
      </c>
    </row>
    <row r="660" spans="1:2">
      <c r="A660" s="2">
        <v>0.00896866998276032</v>
      </c>
      <c r="B660" s="2">
        <v>-0.021474615823805</v>
      </c>
    </row>
    <row r="661" spans="1:2">
      <c r="A661" s="2">
        <v>-0.00537154380191088</v>
      </c>
      <c r="B661" s="2">
        <v>-0.0323565010110793</v>
      </c>
    </row>
    <row r="662" spans="1:2">
      <c r="A662" s="2">
        <v>-0.019946264182379</v>
      </c>
      <c r="B662" s="2">
        <v>-0.00900807335528996</v>
      </c>
    </row>
    <row r="663" spans="1:2">
      <c r="A663" s="2">
        <v>0.00911583340800941</v>
      </c>
      <c r="B663" s="2">
        <v>-0.0121406357074862</v>
      </c>
    </row>
    <row r="664" spans="1:2">
      <c r="A664" s="2">
        <v>-0.00181653092639789</v>
      </c>
      <c r="B664" s="2">
        <v>0.00456919308350611</v>
      </c>
    </row>
    <row r="665" spans="1:2">
      <c r="A665" s="2">
        <v>0.0180185055026782</v>
      </c>
      <c r="B665" s="2">
        <v>0.00455007400025698</v>
      </c>
    </row>
    <row r="666" spans="1:2">
      <c r="A666" s="2">
        <v>0.00888894741724599</v>
      </c>
      <c r="B666" s="2">
        <v>0.00302136862372325</v>
      </c>
    </row>
    <row r="667" spans="1:2">
      <c r="A667" s="2">
        <v>0.00881062968215491</v>
      </c>
      <c r="B667" s="2">
        <v>0.0119933682057147</v>
      </c>
    </row>
    <row r="668" spans="1:2">
      <c r="A668" s="2">
        <v>-0.00527705710084378</v>
      </c>
      <c r="B668" s="2">
        <v>0.0074236651421307</v>
      </c>
    </row>
    <row r="669" spans="1:2">
      <c r="A669" s="2">
        <v>-0.0231946169804683</v>
      </c>
      <c r="B669" s="2">
        <v>0.0044275652107063</v>
      </c>
    </row>
    <row r="670" spans="1:2">
      <c r="A670" s="2">
        <v>0.00180342699915073</v>
      </c>
      <c r="B670" s="2">
        <v>-0.0314160411825317</v>
      </c>
    </row>
    <row r="671" spans="1:2">
      <c r="A671" s="2">
        <v>-0.00180342699915068</v>
      </c>
      <c r="B671" s="2">
        <v>-0.00456919308350613</v>
      </c>
    </row>
    <row r="672" spans="1:2">
      <c r="A672" s="2">
        <v>-0.00180668522494904</v>
      </c>
      <c r="B672" s="2">
        <v>0.0106302619763774</v>
      </c>
    </row>
    <row r="673" spans="1:2">
      <c r="A673" s="2">
        <v>-0.00543972329581821</v>
      </c>
      <c r="B673" s="2">
        <v>0.00301681367264801</v>
      </c>
    </row>
    <row r="674" spans="1:2">
      <c r="A674" s="2">
        <v>-0.023920183717652</v>
      </c>
      <c r="B674" s="2">
        <v>0.00150417399332866</v>
      </c>
    </row>
    <row r="675" spans="1:2">
      <c r="A675" s="2">
        <v>-0.0056022555486699</v>
      </c>
      <c r="B675" s="2">
        <v>-0.00906250752233961</v>
      </c>
    </row>
    <row r="676" spans="1:2">
      <c r="A676" s="2">
        <v>-0.00751883241402734</v>
      </c>
      <c r="B676" s="2">
        <v>0.00303052496374879</v>
      </c>
    </row>
    <row r="677" spans="1:2">
      <c r="A677" s="2">
        <v>0.00938974034983914</v>
      </c>
      <c r="B677" s="2">
        <v>0</v>
      </c>
    </row>
    <row r="678" spans="1:2">
      <c r="A678" s="2">
        <v>0.0258316946135242</v>
      </c>
      <c r="B678" s="2">
        <v>0.00603198255859096</v>
      </c>
    </row>
    <row r="679" spans="1:2">
      <c r="A679" s="2">
        <v>0.0108696722369039</v>
      </c>
      <c r="B679" s="2">
        <v>0.00898275427084699</v>
      </c>
    </row>
    <row r="680" spans="1:2">
      <c r="A680" s="2">
        <v>-0.00904983551991793</v>
      </c>
      <c r="B680" s="2">
        <v>0</v>
      </c>
    </row>
    <row r="681" spans="1:2">
      <c r="A681" s="2">
        <v>0</v>
      </c>
      <c r="B681" s="2">
        <v>0</v>
      </c>
    </row>
    <row r="682" spans="1:2">
      <c r="A682" s="2">
        <v>-0.00913248356327247</v>
      </c>
      <c r="B682" s="2">
        <v>-0.0119933682057147</v>
      </c>
    </row>
    <row r="683" spans="1:2">
      <c r="A683" s="2">
        <v>-0.0147877001543794</v>
      </c>
      <c r="B683" s="2">
        <v>0.0105026553641304</v>
      </c>
    </row>
    <row r="684" spans="1:2">
      <c r="A684" s="2">
        <v>0.00742118433761683</v>
      </c>
      <c r="B684" s="2">
        <v>0.0177516037482857</v>
      </c>
    </row>
    <row r="685" spans="1:2">
      <c r="A685" s="2">
        <v>0</v>
      </c>
      <c r="B685" s="2">
        <v>0.00584839293342494</v>
      </c>
    </row>
    <row r="686" spans="1:2">
      <c r="A686" s="2">
        <v>0.0164989993800351</v>
      </c>
      <c r="B686" s="2">
        <v>0.00870736430252403</v>
      </c>
    </row>
    <row r="687" spans="1:2">
      <c r="A687" s="2">
        <v>-0.0295224392663217</v>
      </c>
      <c r="B687" s="2">
        <v>-0.00289456989258921</v>
      </c>
    </row>
    <row r="688" spans="1:2">
      <c r="A688" s="2">
        <v>-0.0227282510775562</v>
      </c>
      <c r="B688" s="2">
        <v>0.0100937605826167</v>
      </c>
    </row>
    <row r="689" spans="1:2">
      <c r="A689" s="2">
        <v>-0.00962471337420956</v>
      </c>
      <c r="B689" s="2">
        <v>-0.0100937605826166</v>
      </c>
    </row>
    <row r="690" spans="1:2">
      <c r="A690" s="2">
        <v>-0.00971824946892134</v>
      </c>
      <c r="B690" s="2">
        <v>0.00865869468878994</v>
      </c>
    </row>
    <row r="691" spans="1:2">
      <c r="A691" s="2">
        <v>-0.0408626854522865</v>
      </c>
      <c r="B691" s="2">
        <v>0.00573108998735444</v>
      </c>
    </row>
    <row r="692" spans="1:2">
      <c r="A692" s="2">
        <v>0.00406091928631501</v>
      </c>
      <c r="B692" s="2">
        <v>0.00711720039261638</v>
      </c>
    </row>
    <row r="693" spans="1:2">
      <c r="A693" s="2">
        <v>-0.00101368483084612</v>
      </c>
      <c r="B693" s="2">
        <v>0.00283306824925288</v>
      </c>
    </row>
    <row r="694" spans="1:2">
      <c r="A694" s="2">
        <v>0.00202634314523247</v>
      </c>
      <c r="B694" s="2">
        <v>-0.00425339887872708</v>
      </c>
    </row>
    <row r="695" spans="1:2">
      <c r="A695" s="2">
        <v>-0.00813012608325018</v>
      </c>
      <c r="B695" s="2">
        <v>-0.0229896271952984</v>
      </c>
    </row>
    <row r="696" spans="1:2">
      <c r="A696" s="2">
        <v>0.0101523714640179</v>
      </c>
      <c r="B696" s="2">
        <v>-0.00290982165392316</v>
      </c>
    </row>
    <row r="697" spans="1:2">
      <c r="A697" s="2">
        <v>0</v>
      </c>
      <c r="B697" s="2">
        <v>0.0202025790860791</v>
      </c>
    </row>
    <row r="698" spans="1:2">
      <c r="A698" s="2">
        <v>-0.0412429585340491</v>
      </c>
      <c r="B698" s="2">
        <v>-0.00716980039233773</v>
      </c>
    </row>
    <row r="699" spans="1:2">
      <c r="A699" s="2">
        <v>0.0104712998672954</v>
      </c>
      <c r="B699" s="2">
        <v>0.0213539043975917</v>
      </c>
    </row>
    <row r="700" spans="1:2">
      <c r="A700" s="2">
        <v>0.0448140157897926</v>
      </c>
      <c r="B700" s="2">
        <v>-0.0156145867304902</v>
      </c>
    </row>
    <row r="701" spans="1:2">
      <c r="A701" s="2">
        <v>0.00595830958363062</v>
      </c>
      <c r="B701" s="2">
        <v>0.00854768311785249</v>
      </c>
    </row>
    <row r="702" spans="1:2">
      <c r="A702" s="2">
        <v>-0.00396825917562062</v>
      </c>
      <c r="B702" s="2">
        <v>0.00565813289222576</v>
      </c>
    </row>
    <row r="703" spans="1:2">
      <c r="A703" s="2">
        <v>0.00792083349144406</v>
      </c>
      <c r="B703" s="2">
        <v>0.0140053048767275</v>
      </c>
    </row>
    <row r="704" spans="1:2">
      <c r="A704" s="2">
        <v>-0.00593473551981458</v>
      </c>
      <c r="B704" s="2">
        <v>0.00138919158108202</v>
      </c>
    </row>
    <row r="705" spans="1:2">
      <c r="A705" s="2">
        <v>0.00790517950711325</v>
      </c>
      <c r="B705" s="2">
        <v>0.0137943263197974</v>
      </c>
    </row>
    <row r="706" spans="1:2">
      <c r="A706" s="2">
        <v>-0.00989127747874267</v>
      </c>
      <c r="B706" s="2">
        <v>-0.0179692376526338</v>
      </c>
    </row>
    <row r="707" spans="1:2">
      <c r="A707" s="2">
        <v>-0.00598207167754743</v>
      </c>
      <c r="B707" s="2">
        <v>0.0152255530764763</v>
      </c>
    </row>
    <row r="708" spans="1:2">
      <c r="A708" s="2">
        <v>0.00995033085316809</v>
      </c>
      <c r="B708" s="2">
        <v>0.00956939347638251</v>
      </c>
    </row>
    <row r="709" spans="1:2">
      <c r="A709" s="2">
        <v>0.0215483362062029</v>
      </c>
      <c r="B709" s="2">
        <v>0.0108248468185374</v>
      </c>
    </row>
    <row r="710" spans="1:2">
      <c r="A710" s="2">
        <v>-0.00193986481782659</v>
      </c>
      <c r="B710" s="2">
        <v>0.0013458275467983</v>
      </c>
    </row>
    <row r="711" spans="1:2">
      <c r="A711" s="2">
        <v>-0.0335668236390833</v>
      </c>
      <c r="B711" s="2">
        <v>0</v>
      </c>
    </row>
    <row r="712" spans="1:2">
      <c r="A712" s="2">
        <v>0.0179109265665302</v>
      </c>
      <c r="B712" s="2">
        <v>0.00402370513799291</v>
      </c>
    </row>
    <row r="713" spans="1:2">
      <c r="A713" s="2">
        <v>0.00981362144832467</v>
      </c>
      <c r="B713" s="2">
        <v>-0.00536953268479111</v>
      </c>
    </row>
    <row r="714" spans="1:2">
      <c r="A714" s="2">
        <v>0.0193429628431309</v>
      </c>
      <c r="B714" s="2">
        <v>0.00268837032322276</v>
      </c>
    </row>
    <row r="715" spans="1:2">
      <c r="A715" s="2">
        <v>-0.0232568621642672</v>
      </c>
      <c r="B715" s="2">
        <v>-0.00403452964133156</v>
      </c>
    </row>
    <row r="716" spans="1:2">
      <c r="A716" s="2">
        <v>0.0308904870193385</v>
      </c>
      <c r="B716" s="2">
        <v>0.00269198686490701</v>
      </c>
    </row>
    <row r="717" spans="1:2">
      <c r="A717" s="2">
        <v>-0.0211343120739737</v>
      </c>
      <c r="B717" s="2">
        <v>0</v>
      </c>
    </row>
    <row r="718" spans="1:2">
      <c r="A718" s="2">
        <v>-0.0385995468936935</v>
      </c>
      <c r="B718" s="2">
        <v>0.00803128493489725</v>
      </c>
    </row>
    <row r="719" spans="1:2">
      <c r="A719" s="2">
        <v>-0.0317812498681061</v>
      </c>
      <c r="B719" s="2">
        <v>-0.0013335868488665</v>
      </c>
    </row>
    <row r="720" spans="1:2">
      <c r="A720" s="2">
        <v>0</v>
      </c>
      <c r="B720" s="2">
        <v>-0.00669769808603075</v>
      </c>
    </row>
    <row r="721" spans="1:2">
      <c r="A721" s="2">
        <v>0.00829880281469506</v>
      </c>
      <c r="B721" s="2">
        <v>0.00268475952318262</v>
      </c>
    </row>
    <row r="722" spans="1:2">
      <c r="A722" s="2">
        <v>0.0123204843880407</v>
      </c>
      <c r="B722" s="2">
        <v>0.00534652541171473</v>
      </c>
    </row>
    <row r="723" spans="1:2">
      <c r="A723" s="2">
        <v>-0.0206192872027357</v>
      </c>
      <c r="B723" s="2">
        <v>0.0039930434603508</v>
      </c>
    </row>
    <row r="724" spans="1:2">
      <c r="A724" s="2">
        <v>-0.00731838080767984</v>
      </c>
      <c r="B724" s="2">
        <v>-0.012024328395248</v>
      </c>
    </row>
    <row r="725" spans="1:2">
      <c r="A725" s="2">
        <v>-0.0483705250529088</v>
      </c>
      <c r="B725" s="2">
        <v>0</v>
      </c>
    </row>
    <row r="726" spans="1:2">
      <c r="A726" s="2">
        <v>-0.0648322500279191</v>
      </c>
      <c r="B726" s="2">
        <v>-0.00134582754679818</v>
      </c>
    </row>
    <row r="727" spans="1:2">
      <c r="A727" s="2">
        <v>0.0186268482071677</v>
      </c>
      <c r="B727" s="2">
        <v>0.00268837032322276</v>
      </c>
    </row>
    <row r="728" spans="1:2">
      <c r="A728" s="2">
        <v>0.0261824859456437</v>
      </c>
      <c r="B728" s="2">
        <v>0.0251832288447351</v>
      </c>
    </row>
    <row r="729" spans="1:2">
      <c r="A729" s="2">
        <v>0.0331522073169006</v>
      </c>
      <c r="B729" s="2">
        <v>0.00912053772856558</v>
      </c>
    </row>
    <row r="730" spans="1:2">
      <c r="A730" s="2">
        <v>-0.0275499517682306</v>
      </c>
      <c r="B730" s="2">
        <v>-0.006505965505222</v>
      </c>
    </row>
    <row r="731" spans="1:2">
      <c r="A731" s="2">
        <v>0</v>
      </c>
      <c r="B731" s="2">
        <v>0.00390980031449242</v>
      </c>
    </row>
    <row r="732" spans="1:2">
      <c r="A732" s="2">
        <v>-0.0433857996770755</v>
      </c>
      <c r="B732" s="2">
        <v>0</v>
      </c>
    </row>
    <row r="733" spans="1:2">
      <c r="A733" s="2">
        <v>-0.0105572828058767</v>
      </c>
      <c r="B733" s="2">
        <v>-0.00521551324463275</v>
      </c>
    </row>
    <row r="734" spans="1:2">
      <c r="A734" s="2">
        <v>-0.00117994113984864</v>
      </c>
      <c r="B734" s="2">
        <v>0</v>
      </c>
    </row>
    <row r="735" spans="1:2">
      <c r="A735" s="2">
        <v>-0.00118133504583109</v>
      </c>
      <c r="B735" s="2">
        <v>-0.00919239319258829</v>
      </c>
    </row>
    <row r="736" spans="1:2">
      <c r="A736" s="2">
        <v>-0.00473934536389656</v>
      </c>
      <c r="B736" s="2">
        <v>-0.0106109527868775</v>
      </c>
    </row>
    <row r="737" spans="1:2">
      <c r="A737" s="2">
        <v>-0.0276959303892573</v>
      </c>
      <c r="B737" s="2">
        <v>0.0132461912985228</v>
      </c>
    </row>
    <row r="738" spans="1:2">
      <c r="A738" s="2">
        <v>0.00365631120311048</v>
      </c>
      <c r="B738" s="2">
        <v>0.00655715468094284</v>
      </c>
    </row>
    <row r="739" spans="1:2">
      <c r="A739" s="2">
        <v>0.00243013485329189</v>
      </c>
      <c r="B739" s="2">
        <v>0.00521551324463279</v>
      </c>
    </row>
    <row r="740" spans="1:2">
      <c r="A740" s="2">
        <v>0.00725517088117202</v>
      </c>
      <c r="B740" s="2">
        <v>-0.0183745592396365</v>
      </c>
    </row>
    <row r="741" spans="1:2">
      <c r="A741" s="2">
        <v>-0.0145633641878966</v>
      </c>
      <c r="B741" s="2">
        <v>-0.00398098760297201</v>
      </c>
    </row>
    <row r="742" spans="1:2">
      <c r="A742" s="2">
        <v>0.00244200365555181</v>
      </c>
      <c r="B742" s="2">
        <v>-0.00667089217839432</v>
      </c>
    </row>
    <row r="743" spans="1:2">
      <c r="A743" s="2">
        <v>0.0240975515790605</v>
      </c>
      <c r="B743" s="2">
        <v>0.0132975782854217</v>
      </c>
    </row>
    <row r="744" spans="1:2">
      <c r="A744" s="2">
        <v>0.0141846349919564</v>
      </c>
      <c r="B744" s="2">
        <v>-0.00264569850405536</v>
      </c>
    </row>
    <row r="745" spans="1:2">
      <c r="A745" s="2">
        <v>0.0592428335628608</v>
      </c>
      <c r="B745" s="2">
        <v>0.0222677081989219</v>
      </c>
    </row>
    <row r="746" spans="1:2">
      <c r="A746" s="2">
        <v>0</v>
      </c>
      <c r="B746" s="2">
        <v>0.00387805110964846</v>
      </c>
    </row>
    <row r="747" spans="1:2">
      <c r="A747" s="2">
        <v>-0.0429444518297414</v>
      </c>
      <c r="B747" s="2">
        <v>-0.0195438679945096</v>
      </c>
    </row>
    <row r="748" spans="1:2">
      <c r="A748" s="2">
        <v>-0.018648559078073</v>
      </c>
      <c r="B748" s="2">
        <v>0.00655715468094284</v>
      </c>
    </row>
    <row r="749" spans="1:2">
      <c r="A749" s="2">
        <v>0</v>
      </c>
      <c r="B749" s="2">
        <v>-0.00655715468094295</v>
      </c>
    </row>
    <row r="750" spans="1:2">
      <c r="A750" s="2">
        <v>0.00586511945239806</v>
      </c>
      <c r="B750" s="2">
        <v>-0.0172537710954271</v>
      </c>
    </row>
    <row r="751" spans="1:2">
      <c r="A751" s="2">
        <v>0.0378702740554097</v>
      </c>
      <c r="B751" s="2">
        <v>0.00800062325725503</v>
      </c>
    </row>
    <row r="752" spans="1:2">
      <c r="A752" s="2">
        <v>0.0222726356091232</v>
      </c>
      <c r="B752" s="2">
        <v>0.00793567227787995</v>
      </c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2"/>
  <sheetViews>
    <sheetView workbookViewId="0">
      <selection activeCell="E2" sqref="E2:F2"/>
    </sheetView>
  </sheetViews>
  <sheetFormatPr defaultColWidth="8.72727272727273" defaultRowHeight="14.5" outlineLevelCol="6"/>
  <cols>
    <col min="5" max="5" width="11.7272727272727"/>
    <col min="6" max="6" width="12.8181818181818"/>
  </cols>
  <sheetData>
    <row r="1" spans="1:7">
      <c r="A1" t="s">
        <v>6</v>
      </c>
      <c r="B1" s="1" t="s">
        <v>8</v>
      </c>
      <c r="E1" t="s">
        <v>6</v>
      </c>
      <c r="F1" s="1" t="s">
        <v>8</v>
      </c>
    </row>
    <row r="2" spans="1:7">
      <c r="A2" s="2">
        <v>-0.0642095196540969</v>
      </c>
      <c r="B2" s="3">
        <v>0.0173917427118692</v>
      </c>
      <c r="E2">
        <f ca="1">_xlfn.COVARIANCE.S(INDIRECT(E$1),INDIRECT($G2))</f>
        <v>0.000578789506992331</v>
      </c>
      <c r="F2">
        <f ca="1">_xlfn.COVARIANCE.S(INDIRECT(F$1),INDIRECT($G2))</f>
        <v>4.77366918953809e-5</v>
      </c>
      <c r="G2" t="s">
        <v>6</v>
      </c>
    </row>
    <row r="3" spans="1:7">
      <c r="A3" s="2">
        <v>0.0259754864032607</v>
      </c>
      <c r="B3" s="3">
        <v>-0.00720983656674976</v>
      </c>
      <c r="G3" s="1" t="s">
        <v>8</v>
      </c>
    </row>
    <row r="4" spans="1:7">
      <c r="A4" s="2">
        <v>0.00102511541524535</v>
      </c>
      <c r="B4" s="3">
        <v>0</v>
      </c>
    </row>
    <row r="5" spans="1:7">
      <c r="A5" s="2">
        <v>-0.066726705818124</v>
      </c>
      <c r="B5" s="3">
        <v>0.0411113882424311</v>
      </c>
    </row>
    <row r="6" spans="1:7">
      <c r="A6" s="2">
        <v>0.0636482015910366</v>
      </c>
      <c r="B6" s="3">
        <v>-0.00557104504945536</v>
      </c>
    </row>
    <row r="7" spans="1:7">
      <c r="A7" s="2">
        <v>0.0132722724166304</v>
      </c>
      <c r="B7" s="3">
        <v>0.0138698478641504</v>
      </c>
    </row>
    <row r="8" spans="1:7">
      <c r="A8" s="2">
        <v>0.0723678325034773</v>
      </c>
      <c r="B8" s="3">
        <v>-0.027934777331554</v>
      </c>
    </row>
    <row r="9" spans="1:7">
      <c r="A9" s="2">
        <v>0.00938974034983914</v>
      </c>
      <c r="B9" s="3">
        <v>0.00705719230999876</v>
      </c>
    </row>
    <row r="10" spans="1:7">
      <c r="A10" s="2">
        <v>-0.0255574724551794</v>
      </c>
      <c r="B10" s="3">
        <v>-0.0490011568909659</v>
      </c>
    </row>
    <row r="11" spans="1:7">
      <c r="A11" s="2">
        <v>0.0586487270815077</v>
      </c>
      <c r="B11" s="3">
        <v>0</v>
      </c>
    </row>
    <row r="12" spans="1:7">
      <c r="A12" s="2">
        <v>0.0723627146085018</v>
      </c>
      <c r="B12" s="3">
        <v>0.0175699981013835</v>
      </c>
    </row>
    <row r="13" spans="1:7">
      <c r="A13" s="2">
        <v>0.0298282262880455</v>
      </c>
      <c r="B13" s="3">
        <v>-0.024982930490509</v>
      </c>
    </row>
    <row r="14" spans="1:7">
      <c r="A14" s="2">
        <v>-0.016461277054072</v>
      </c>
      <c r="B14" s="3">
        <v>0.0535971860089779</v>
      </c>
    </row>
    <row r="15" spans="1:7">
      <c r="A15" s="2">
        <v>0.0197212636412794</v>
      </c>
      <c r="B15" s="3">
        <v>-0.00849863472146258</v>
      </c>
    </row>
    <row r="16" spans="1:7">
      <c r="A16" s="2">
        <v>0.000813338800428281</v>
      </c>
      <c r="B16" s="3">
        <v>0.0431521368038507</v>
      </c>
    </row>
    <row r="17" spans="1:2">
      <c r="A17" s="2">
        <v>0.0161293819298837</v>
      </c>
      <c r="B17" s="3">
        <v>-0.0388937911212735</v>
      </c>
    </row>
    <row r="18" spans="1:2">
      <c r="A18" s="2">
        <v>-0.00722604509173958</v>
      </c>
      <c r="B18" s="3">
        <v>-0.0142655771588225</v>
      </c>
    </row>
    <row r="19" spans="1:2">
      <c r="A19" s="2">
        <v>-0.0335959494285155</v>
      </c>
      <c r="B19" s="3">
        <v>0.0199153097009415</v>
      </c>
    </row>
    <row r="20" spans="1:2">
      <c r="A20" s="2">
        <v>0.0511682865743994</v>
      </c>
      <c r="B20" s="3">
        <v>-0.0475936971230862</v>
      </c>
    </row>
    <row r="21" spans="1:2">
      <c r="A21" s="2">
        <v>0.059179770594466</v>
      </c>
      <c r="B21" s="3">
        <v>-0.0672008507680988</v>
      </c>
    </row>
    <row r="22" spans="1:2">
      <c r="A22" s="2">
        <v>-0.0287680701764425</v>
      </c>
      <c r="B22" s="3">
        <v>-0.00952388151125548</v>
      </c>
    </row>
    <row r="23" spans="1:2">
      <c r="A23" s="2">
        <v>0.0725706928348354</v>
      </c>
      <c r="B23" s="3">
        <v>-0.0274875834655638</v>
      </c>
    </row>
    <row r="24" spans="1:2">
      <c r="A24" s="2">
        <v>-0.00644932367990709</v>
      </c>
      <c r="B24" s="3">
        <v>0.0194811355718225</v>
      </c>
    </row>
    <row r="25" spans="1:2">
      <c r="A25" s="2">
        <v>0.0721032939013439</v>
      </c>
      <c r="B25" s="3">
        <v>-0.0211218250292824</v>
      </c>
    </row>
    <row r="26" spans="1:2">
      <c r="A26" s="2">
        <v>-0.052878778732714</v>
      </c>
      <c r="B26" s="3">
        <v>-0.00164338574373001</v>
      </c>
    </row>
    <row r="27" spans="1:2">
      <c r="A27" s="2">
        <v>-0.067080536346265</v>
      </c>
      <c r="B27" s="3">
        <v>-0.00825768523898158</v>
      </c>
    </row>
    <row r="28" spans="1:2">
      <c r="A28" s="2">
        <v>-0.0670555121467253</v>
      </c>
      <c r="B28" s="3">
        <v>0.0148150857851407</v>
      </c>
    </row>
    <row r="29" spans="1:2">
      <c r="A29" s="2">
        <v>-0.0538432320208232</v>
      </c>
      <c r="B29" s="3">
        <v>0.00975617494536466</v>
      </c>
    </row>
    <row r="30" spans="1:2">
      <c r="A30" s="2">
        <v>0.00170068068201747</v>
      </c>
      <c r="B30" s="3">
        <v>0.00484262447578799</v>
      </c>
    </row>
    <row r="31" spans="1:2">
      <c r="A31" s="2">
        <v>-0.0676586484738148</v>
      </c>
      <c r="B31" s="3">
        <v>-0.00970881412696094</v>
      </c>
    </row>
    <row r="32" spans="1:2">
      <c r="A32" s="2">
        <v>0.0383462050083487</v>
      </c>
      <c r="B32" s="3">
        <v>-0.00325733187030651</v>
      </c>
    </row>
    <row r="33" spans="1:2">
      <c r="A33" s="2">
        <v>0.0717304449122771</v>
      </c>
      <c r="B33" s="3">
        <v>0.0032573318703065</v>
      </c>
    </row>
    <row r="34" spans="1:2">
      <c r="A34" s="2">
        <v>-0.0664948308583321</v>
      </c>
      <c r="B34" s="3">
        <v>0.0177281032935806</v>
      </c>
    </row>
    <row r="35" spans="1:2">
      <c r="A35" s="2">
        <v>-0.0675020027799457</v>
      </c>
      <c r="B35" s="3">
        <v>0.00953902304675891</v>
      </c>
    </row>
    <row r="36" spans="1:2">
      <c r="A36" s="2">
        <v>-0.0565013835929223</v>
      </c>
      <c r="B36" s="3">
        <v>0.0125787822068602</v>
      </c>
    </row>
    <row r="37" spans="1:2">
      <c r="A37" s="2">
        <v>-0.0672350928659598</v>
      </c>
      <c r="B37" s="3">
        <v>-0.00156372197618276</v>
      </c>
    </row>
    <row r="38" spans="1:2">
      <c r="A38" s="2">
        <v>0</v>
      </c>
      <c r="B38" s="3">
        <v>-0.0157731976770943</v>
      </c>
    </row>
    <row r="39" spans="1:2">
      <c r="A39" s="2">
        <v>0.00105318598465864</v>
      </c>
      <c r="B39" s="3">
        <v>0.0204570469895206</v>
      </c>
    </row>
    <row r="40" spans="1:2">
      <c r="A40" s="2">
        <v>-0.0266682470821613</v>
      </c>
      <c r="B40" s="3">
        <v>-0.0348688256508239</v>
      </c>
    </row>
    <row r="41" spans="1:2">
      <c r="A41" s="2">
        <v>0.0171494020729545</v>
      </c>
      <c r="B41" s="3">
        <v>-0.0294620327303162</v>
      </c>
    </row>
    <row r="42" spans="1:2">
      <c r="A42" s="2">
        <v>0.0717520794350918</v>
      </c>
      <c r="B42" s="3">
        <v>0.0213648224976968</v>
      </c>
    </row>
    <row r="43" spans="1:2">
      <c r="A43" s="2">
        <v>0.023461486678998</v>
      </c>
      <c r="B43" s="3">
        <v>0.0256835947346954</v>
      </c>
    </row>
    <row r="44" spans="1:2">
      <c r="A44" s="2">
        <v>0.0379192348622937</v>
      </c>
      <c r="B44" s="3">
        <v>-0.00955421280481161</v>
      </c>
    </row>
    <row r="45" spans="1:2">
      <c r="A45" s="2">
        <v>0.0229895182246988</v>
      </c>
      <c r="B45" s="3">
        <v>0.0158733491562902</v>
      </c>
    </row>
    <row r="46" spans="1:2">
      <c r="A46" s="2">
        <v>-0.02765153133051</v>
      </c>
      <c r="B46" s="3">
        <v>-0.00157604445546577</v>
      </c>
    </row>
    <row r="47" spans="1:2">
      <c r="A47" s="2">
        <v>-0.0169655341582967</v>
      </c>
      <c r="B47" s="3">
        <v>0</v>
      </c>
    </row>
    <row r="48" spans="1:2">
      <c r="A48" s="2">
        <v>0.0150946262224849</v>
      </c>
      <c r="B48" s="3">
        <v>0.018750549345376</v>
      </c>
    </row>
    <row r="49" spans="1:2">
      <c r="A49" s="2">
        <v>0</v>
      </c>
      <c r="B49" s="3">
        <v>0.00617285910708102</v>
      </c>
    </row>
    <row r="50" spans="1:2">
      <c r="A50" s="2">
        <v>-0.0103530336499025</v>
      </c>
      <c r="B50" s="3">
        <v>-0.00153964618559275</v>
      </c>
    </row>
    <row r="51" spans="1:2">
      <c r="A51" s="2">
        <v>-0.0268472500361881</v>
      </c>
      <c r="B51" s="3">
        <v>-0.0139645403503724</v>
      </c>
    </row>
    <row r="52" spans="1:2">
      <c r="A52" s="2">
        <v>-0.00389484426154107</v>
      </c>
      <c r="B52" s="3">
        <v>-0.0317486983145803</v>
      </c>
    </row>
    <row r="53" spans="1:2">
      <c r="A53" s="2">
        <v>-0.003910073407843</v>
      </c>
      <c r="B53" s="3">
        <v>0.0128206884290615</v>
      </c>
    </row>
    <row r="54" spans="1:2">
      <c r="A54" s="2">
        <v>0.00488520756604934</v>
      </c>
      <c r="B54" s="3">
        <v>-0.0144348937836026</v>
      </c>
    </row>
    <row r="55" spans="1:2">
      <c r="A55" s="2">
        <v>0.000974184197843414</v>
      </c>
      <c r="B55" s="3">
        <v>0.0176145467009823</v>
      </c>
    </row>
    <row r="56" spans="1:2">
      <c r="A56" s="2">
        <v>-0.0336665458833857</v>
      </c>
      <c r="B56" s="3">
        <v>-0.0504582212701291</v>
      </c>
    </row>
    <row r="57" spans="1:2">
      <c r="A57" s="2">
        <v>-0.0152209940103552</v>
      </c>
      <c r="B57" s="3">
        <v>0.0132671929440489</v>
      </c>
    </row>
    <row r="58" spans="1:2">
      <c r="A58" s="2">
        <v>-0.00924505814405105</v>
      </c>
      <c r="B58" s="3">
        <v>0.00328947665039871</v>
      </c>
    </row>
    <row r="59" spans="1:2">
      <c r="A59" s="2">
        <v>0.00103145960666221</v>
      </c>
      <c r="B59" s="3">
        <v>-0.00328947665039876</v>
      </c>
    </row>
    <row r="60" spans="1:2">
      <c r="A60" s="2">
        <v>-0.020834086902842</v>
      </c>
      <c r="B60" s="3">
        <v>0.0228022908739806</v>
      </c>
    </row>
    <row r="61" spans="1:2">
      <c r="A61" s="2">
        <v>-0.0116465053863236</v>
      </c>
      <c r="B61" s="3">
        <v>0.01120908453472</v>
      </c>
    </row>
    <row r="62" spans="1:2">
      <c r="A62" s="2">
        <v>-0.00641027836091905</v>
      </c>
      <c r="B62" s="3">
        <v>-0.0160517090105079</v>
      </c>
    </row>
    <row r="63" spans="1:2">
      <c r="A63" s="2">
        <v>0.00747467441670575</v>
      </c>
      <c r="B63" s="3">
        <v>-0.032897703507059</v>
      </c>
    </row>
    <row r="64" spans="1:2">
      <c r="A64" s="2">
        <v>-0.0434851119397388</v>
      </c>
      <c r="B64" s="3">
        <v>-0.015164570299045</v>
      </c>
    </row>
    <row r="65" spans="1:2">
      <c r="A65" s="2">
        <v>-0.0350516380589188</v>
      </c>
      <c r="B65" s="3">
        <v>-0.0327898228229908</v>
      </c>
    </row>
    <row r="66" spans="1:2">
      <c r="A66" s="2">
        <v>0.0570305447776941</v>
      </c>
      <c r="B66" s="3">
        <v>0.0104712998672954</v>
      </c>
    </row>
    <row r="67" spans="1:2">
      <c r="A67" s="2">
        <v>0.0723206615796261</v>
      </c>
      <c r="B67" s="3">
        <v>0.00692044284457376</v>
      </c>
    </row>
    <row r="68" spans="1:2">
      <c r="A68" s="2">
        <v>0.00705292596188608</v>
      </c>
      <c r="B68" s="3">
        <v>0</v>
      </c>
    </row>
    <row r="69" spans="1:2">
      <c r="A69" s="2">
        <v>0.00600602406021195</v>
      </c>
      <c r="B69" s="3">
        <v>-0.0121423868257254</v>
      </c>
    </row>
    <row r="70" spans="1:2">
      <c r="A70" s="2">
        <v>-0.0171116404727212</v>
      </c>
      <c r="B70" s="3">
        <v>0</v>
      </c>
    </row>
    <row r="71" spans="1:2">
      <c r="A71" s="2">
        <v>0.00708146611278395</v>
      </c>
      <c r="B71" s="3">
        <v>0.00522194398115162</v>
      </c>
    </row>
    <row r="72" spans="1:2">
      <c r="A72" s="2">
        <v>0.0472528848505455</v>
      </c>
      <c r="B72" s="3">
        <v>-0.00871845103988105</v>
      </c>
    </row>
    <row r="73" spans="1:2">
      <c r="A73" s="2">
        <v>-0.00192492840958439</v>
      </c>
      <c r="B73" s="3">
        <v>0.00698083114134014</v>
      </c>
    </row>
    <row r="74" spans="1:2">
      <c r="A74" s="2">
        <v>0.030362863730118</v>
      </c>
      <c r="B74" s="3">
        <v>-0.00174064447778399</v>
      </c>
    </row>
    <row r="75" spans="1:2">
      <c r="A75" s="2">
        <v>-0.00468384931242631</v>
      </c>
      <c r="B75" s="3">
        <v>-0.00699303549097064</v>
      </c>
    </row>
    <row r="76" spans="1:2">
      <c r="A76" s="2">
        <v>0.0724298378448145</v>
      </c>
      <c r="B76" s="3">
        <v>0.0191143960233155</v>
      </c>
    </row>
    <row r="77" spans="1:2">
      <c r="A77" s="2">
        <v>0.00435730536895563</v>
      </c>
      <c r="B77" s="3">
        <v>-0.0261566786487283</v>
      </c>
    </row>
    <row r="78" spans="1:2">
      <c r="A78" s="2">
        <v>-0.0175443096509095</v>
      </c>
      <c r="B78" s="3">
        <v>-0.00531445006349259</v>
      </c>
    </row>
    <row r="79" spans="1:2">
      <c r="A79" s="2">
        <v>-0.0187589243560192</v>
      </c>
      <c r="B79" s="3">
        <v>0.00354610300675049</v>
      </c>
    </row>
    <row r="80" spans="1:2">
      <c r="A80" s="2">
        <v>-0.0264976672321017</v>
      </c>
      <c r="B80" s="3">
        <v>-0.0269074529199244</v>
      </c>
    </row>
    <row r="81" spans="1:2">
      <c r="A81" s="2">
        <v>0.071458963982145</v>
      </c>
      <c r="B81" s="3">
        <v>0.0668086696721103</v>
      </c>
    </row>
    <row r="82" spans="1:2">
      <c r="A82" s="2">
        <v>0.0504308536268919</v>
      </c>
      <c r="B82" s="3">
        <v>0.0400053346136992</v>
      </c>
    </row>
    <row r="83" spans="1:2">
      <c r="A83" s="2">
        <v>0.0162605208717803</v>
      </c>
      <c r="B83" s="3">
        <v>-0.00738010729762253</v>
      </c>
    </row>
    <row r="84" spans="1:2">
      <c r="A84" s="2">
        <v>0.0239055208535544</v>
      </c>
      <c r="B84" s="3">
        <v>-0.00157325337525177</v>
      </c>
    </row>
    <row r="85" spans="1:2">
      <c r="A85" s="2">
        <v>-0.0222939169592129</v>
      </c>
      <c r="B85" s="3">
        <v>0.00784326762333451</v>
      </c>
    </row>
    <row r="86" spans="1:2">
      <c r="A86" s="2">
        <v>-0.00970881412696094</v>
      </c>
      <c r="B86" s="3">
        <v>-0.0253177660406544</v>
      </c>
    </row>
    <row r="87" spans="1:2">
      <c r="A87" s="2">
        <v>-0.0672522270091675</v>
      </c>
      <c r="B87" s="3">
        <v>0.00798097901994805</v>
      </c>
    </row>
    <row r="88" spans="1:2">
      <c r="A88" s="2">
        <v>-0.0674412807955325</v>
      </c>
      <c r="B88" s="3">
        <v>0.053763551995146</v>
      </c>
    </row>
    <row r="89" spans="1:2">
      <c r="A89" s="2">
        <v>-0.0417914565448033</v>
      </c>
      <c r="B89" s="3">
        <v>-0.0320540262900835</v>
      </c>
    </row>
    <row r="90" spans="1:2">
      <c r="A90" s="2">
        <v>-0.00388727408840166</v>
      </c>
      <c r="B90" s="3">
        <v>0.0161554402222852</v>
      </c>
    </row>
    <row r="91" spans="1:2">
      <c r="A91" s="2">
        <v>-0.0266419309464212</v>
      </c>
      <c r="B91" s="3">
        <v>-0.0177854324332163</v>
      </c>
    </row>
    <row r="92" spans="1:2">
      <c r="A92" s="2">
        <v>-0.0140989243795016</v>
      </c>
      <c r="B92" s="3">
        <v>-0.00163265342388533</v>
      </c>
    </row>
    <row r="93" spans="1:2">
      <c r="A93" s="2">
        <v>0.0260274952447755</v>
      </c>
      <c r="B93" s="3">
        <v>0.0145987994211526</v>
      </c>
    </row>
    <row r="94" spans="1:2">
      <c r="A94" s="2">
        <v>0.0176302313762705</v>
      </c>
      <c r="B94" s="3">
        <v>-0.0344014267173324</v>
      </c>
    </row>
    <row r="95" spans="1:2">
      <c r="A95" s="2">
        <v>-0.0107370480009567</v>
      </c>
      <c r="B95" s="3">
        <v>0.00498754151103897</v>
      </c>
    </row>
    <row r="96" spans="1:2">
      <c r="A96" s="2">
        <v>-0.0288720900940891</v>
      </c>
      <c r="B96" s="3">
        <v>0.0131797624444098</v>
      </c>
    </row>
    <row r="97" spans="1:2">
      <c r="A97" s="2">
        <v>0.00503779402995708</v>
      </c>
      <c r="B97" s="3">
        <v>0.00652530863492264</v>
      </c>
    </row>
    <row r="98" spans="1:2">
      <c r="A98" s="2">
        <v>-0.0151901654939751</v>
      </c>
      <c r="B98" s="3">
        <v>0.0080972102326193</v>
      </c>
    </row>
    <row r="99" spans="1:2">
      <c r="A99" s="2">
        <v>0.00711746776886395</v>
      </c>
      <c r="B99" s="3">
        <v>-0.00647251450561748</v>
      </c>
    </row>
    <row r="100" spans="1:2">
      <c r="A100" s="2">
        <v>0.00807269772511126</v>
      </c>
      <c r="B100" s="3">
        <v>-0.00325203538637734</v>
      </c>
    </row>
    <row r="101" spans="1:2">
      <c r="A101" s="2">
        <v>0.0218696588899671</v>
      </c>
      <c r="B101" s="3">
        <v>0.00972454989199478</v>
      </c>
    </row>
    <row r="102" spans="1:2">
      <c r="A102" s="2">
        <v>0.0175443096509095</v>
      </c>
      <c r="B102" s="3">
        <v>0.025479085300985</v>
      </c>
    </row>
    <row r="103" spans="1:2">
      <c r="A103" s="2">
        <v>-0.00581396986541984</v>
      </c>
      <c r="B103" s="3">
        <v>0.0233110788684471</v>
      </c>
    </row>
    <row r="104" spans="1:2">
      <c r="A104" s="2">
        <v>-0.00194552590549133</v>
      </c>
      <c r="B104" s="3">
        <v>-0.00616334770766869</v>
      </c>
    </row>
    <row r="105" spans="1:2">
      <c r="A105" s="2">
        <v>0.0173749544703532</v>
      </c>
      <c r="B105" s="3">
        <v>-0.0250404319596874</v>
      </c>
    </row>
    <row r="106" spans="1:2">
      <c r="A106" s="2">
        <v>0.00952388151125554</v>
      </c>
      <c r="B106" s="3">
        <v>0.00158353160564422</v>
      </c>
    </row>
    <row r="107" spans="1:2">
      <c r="A107" s="2">
        <v>0.00378429969123963</v>
      </c>
      <c r="B107" s="3">
        <v>-0.0321571116345313</v>
      </c>
    </row>
    <row r="108" spans="1:2">
      <c r="A108" s="2">
        <v>-0.0394851484909385</v>
      </c>
      <c r="B108" s="3">
        <v>-0.0231415285616944</v>
      </c>
    </row>
    <row r="109" spans="1:2">
      <c r="A109" s="2">
        <v>-0.00393701295933953</v>
      </c>
      <c r="B109" s="3">
        <v>0.00832644277655381</v>
      </c>
    </row>
    <row r="110" spans="1:2">
      <c r="A110" s="2">
        <v>-0.0139029051689914</v>
      </c>
      <c r="B110" s="3">
        <v>0.0049627893421291</v>
      </c>
    </row>
    <row r="111" spans="1:2">
      <c r="A111" s="2">
        <v>0</v>
      </c>
      <c r="B111" s="3">
        <v>0.00493828164058258</v>
      </c>
    </row>
    <row r="112" spans="1:2">
      <c r="A112" s="2">
        <v>0.0227394869694893</v>
      </c>
      <c r="B112" s="3">
        <v>0.0146701897477938</v>
      </c>
    </row>
    <row r="113" spans="1:2">
      <c r="A113" s="2">
        <v>0.00390244397693175</v>
      </c>
      <c r="B113" s="3">
        <v>-0.0048661896511729</v>
      </c>
    </row>
    <row r="114" spans="1:2">
      <c r="A114" s="2">
        <v>0.0173749544703532</v>
      </c>
      <c r="B114" s="3">
        <v>-0.0197050710793324</v>
      </c>
    </row>
    <row r="115" spans="1:2">
      <c r="A115" s="2">
        <v>0.000956480225956814</v>
      </c>
      <c r="B115" s="3">
        <v>0.0115417604401715</v>
      </c>
    </row>
    <row r="116" spans="1:2">
      <c r="A116" s="2">
        <v>0</v>
      </c>
      <c r="B116" s="3">
        <v>-0.00823049913651548</v>
      </c>
    </row>
    <row r="117" spans="1:2">
      <c r="A117" s="2">
        <v>0.00571974867278691</v>
      </c>
      <c r="B117" s="3">
        <v>-0.0133113446382394</v>
      </c>
    </row>
    <row r="118" spans="1:2">
      <c r="A118" s="2">
        <v>-0.0668224962454017</v>
      </c>
      <c r="B118" s="3">
        <v>-0.0168922935645056</v>
      </c>
    </row>
    <row r="119" spans="1:2">
      <c r="A119" s="2">
        <v>-0.00305343748689034</v>
      </c>
      <c r="B119" s="3">
        <v>0</v>
      </c>
    </row>
    <row r="120" spans="1:2">
      <c r="A120" s="2">
        <v>0.017180816746101</v>
      </c>
      <c r="B120" s="3">
        <v>0.0235701147071112</v>
      </c>
    </row>
    <row r="121" spans="1:2">
      <c r="A121" s="2">
        <v>-0.00804833318282837</v>
      </c>
      <c r="B121" s="3">
        <v>-0.00166527931906121</v>
      </c>
    </row>
    <row r="122" spans="1:2">
      <c r="A122" s="2">
        <v>-0.0528894639203727</v>
      </c>
      <c r="B122" s="3">
        <v>0.00829880281469506</v>
      </c>
    </row>
    <row r="123" spans="1:2">
      <c r="A123" s="2">
        <v>0</v>
      </c>
      <c r="B123" s="3">
        <v>0.0033003330286567</v>
      </c>
    </row>
    <row r="124" spans="1:2">
      <c r="A124" s="2">
        <v>0.00106439605578672</v>
      </c>
      <c r="B124" s="3">
        <v>0.00493016610785859</v>
      </c>
    </row>
    <row r="125" spans="1:2">
      <c r="A125" s="2">
        <v>-0.0010643960557867</v>
      </c>
      <c r="B125" s="3">
        <v>0.011410066738031</v>
      </c>
    </row>
    <row r="126" spans="1:2">
      <c r="A126" s="2">
        <v>-0.0096308930609613</v>
      </c>
      <c r="B126" s="3">
        <v>-0.00977206473379249</v>
      </c>
    </row>
    <row r="127" spans="1:2">
      <c r="A127" s="2">
        <v>0</v>
      </c>
      <c r="B127" s="3">
        <v>0.0113914982860956</v>
      </c>
    </row>
    <row r="128" spans="1:2">
      <c r="A128" s="2">
        <v>0.00536194314138537</v>
      </c>
      <c r="B128" s="3">
        <v>-0.0048661896511729</v>
      </c>
    </row>
    <row r="129" spans="1:2">
      <c r="A129" s="2">
        <v>0.0138079729663348</v>
      </c>
      <c r="B129" s="3">
        <v>-0.0114473858403508</v>
      </c>
    </row>
    <row r="130" spans="1:2">
      <c r="A130" s="2">
        <v>0.0021074823395648</v>
      </c>
      <c r="B130" s="3">
        <v>0.00164338574373006</v>
      </c>
    </row>
    <row r="131" spans="1:2">
      <c r="A131" s="2">
        <v>0.0259754864032607</v>
      </c>
      <c r="B131" s="3">
        <v>0.00654666822631437</v>
      </c>
    </row>
    <row r="132" spans="1:2">
      <c r="A132" s="2">
        <v>-0.0155041865359652</v>
      </c>
      <c r="B132" s="3">
        <v>-0.0197700014010038</v>
      </c>
    </row>
    <row r="133" spans="1:2">
      <c r="A133" s="2">
        <v>-0.0403880609052881</v>
      </c>
      <c r="B133" s="3">
        <v>0.00497926339960736</v>
      </c>
    </row>
    <row r="134" spans="1:2">
      <c r="A134" s="2">
        <v>-0.0252621890849736</v>
      </c>
      <c r="B134" s="3">
        <v>-0.00664454271866861</v>
      </c>
    </row>
    <row r="135" spans="1:2">
      <c r="A135" s="2">
        <v>0.00111172885269042</v>
      </c>
      <c r="B135" s="3">
        <v>0.0198026272961797</v>
      </c>
    </row>
    <row r="136" spans="1:2">
      <c r="A136" s="2">
        <v>0.0165293019512105</v>
      </c>
      <c r="B136" s="3">
        <v>0.0273989741881143</v>
      </c>
    </row>
    <row r="137" spans="1:2">
      <c r="A137" s="2">
        <v>0.00653597097978545</v>
      </c>
      <c r="B137" s="3">
        <v>0.0047581374464168</v>
      </c>
    </row>
    <row r="138" spans="1:2">
      <c r="A138" s="2">
        <v>0.0372978767960945</v>
      </c>
      <c r="B138" s="3">
        <v>0.00158102799731877</v>
      </c>
    </row>
    <row r="139" spans="1:2">
      <c r="A139" s="2">
        <v>-0.0200746308129791</v>
      </c>
      <c r="B139" s="3">
        <v>-0.00158102799731882</v>
      </c>
    </row>
    <row r="140" spans="1:2">
      <c r="A140" s="2">
        <v>-0.0183096121953362</v>
      </c>
      <c r="B140" s="3">
        <v>0.00788026142530597</v>
      </c>
    </row>
    <row r="141" spans="1:2">
      <c r="A141" s="2">
        <v>0.00217155351350793</v>
      </c>
      <c r="B141" s="3">
        <v>-0.0319006316667755</v>
      </c>
    </row>
    <row r="142" spans="1:2">
      <c r="A142" s="2">
        <v>0.0351661169241365</v>
      </c>
      <c r="B142" s="3">
        <v>-0.0246115785965668</v>
      </c>
    </row>
    <row r="143" spans="1:2">
      <c r="A143" s="2">
        <v>-0.0373376704376442</v>
      </c>
      <c r="B143" s="3">
        <v>-0.00332779009267469</v>
      </c>
    </row>
    <row r="144" spans="1:2">
      <c r="A144" s="2">
        <v>0.0425596144187959</v>
      </c>
      <c r="B144" s="3">
        <v>0.00332779009267475</v>
      </c>
    </row>
    <row r="145" spans="1:2">
      <c r="A145" s="2">
        <v>-0.0199901448765023</v>
      </c>
      <c r="B145" s="3">
        <v>-0.00166251077361341</v>
      </c>
    </row>
    <row r="146" spans="1:2">
      <c r="A146" s="2">
        <v>-0.0670212321131275</v>
      </c>
      <c r="B146" s="3">
        <v>0</v>
      </c>
    </row>
    <row r="147" spans="1:2">
      <c r="A147" s="2">
        <v>-0.00684153181671671</v>
      </c>
      <c r="B147" s="3">
        <v>0</v>
      </c>
    </row>
    <row r="148" spans="1:2">
      <c r="A148" s="2">
        <v>0.0158913673366347</v>
      </c>
      <c r="B148" s="3">
        <v>0.00332226219197786</v>
      </c>
    </row>
    <row r="149" spans="1:2">
      <c r="A149" s="2">
        <v>-0.010186845306993</v>
      </c>
      <c r="B149" s="3">
        <v>-0.00832644277655367</v>
      </c>
    </row>
    <row r="150" spans="1:2">
      <c r="A150" s="2">
        <v>-0.0218525084376236</v>
      </c>
      <c r="B150" s="3">
        <v>-0.00167364055802965</v>
      </c>
    </row>
    <row r="151" spans="1:2">
      <c r="A151" s="2">
        <v>-0.0500700526448064</v>
      </c>
      <c r="B151" s="3">
        <v>0.00834033191621895</v>
      </c>
    </row>
    <row r="152" spans="1:2">
      <c r="A152" s="2">
        <v>-0.0323009447883212</v>
      </c>
      <c r="B152" s="3">
        <v>-0.0201349084090559</v>
      </c>
    </row>
    <row r="153" spans="1:2">
      <c r="A153" s="2">
        <v>-0.0294704223087819</v>
      </c>
      <c r="B153" s="3">
        <v>-0.0188200593267699</v>
      </c>
    </row>
    <row r="154" spans="1:2">
      <c r="A154" s="2">
        <v>-0.0117725362252672</v>
      </c>
      <c r="B154" s="3">
        <v>-0.00172860890061774</v>
      </c>
    </row>
    <row r="155" spans="1:2">
      <c r="A155" s="2">
        <v>0.00393959800408031</v>
      </c>
      <c r="B155" s="3">
        <v>-0.005203827875027</v>
      </c>
    </row>
    <row r="156" spans="1:2">
      <c r="A156" s="2">
        <v>-0.0039395980040802</v>
      </c>
      <c r="B156" s="3">
        <v>0.00347222571074906</v>
      </c>
    </row>
    <row r="157" spans="1:2">
      <c r="A157" s="2">
        <v>0.00393959800408031</v>
      </c>
      <c r="B157" s="3">
        <v>-0.00347222571074909</v>
      </c>
    </row>
    <row r="158" spans="1:2">
      <c r="A158" s="2">
        <v>0.00522877008279928</v>
      </c>
      <c r="B158" s="3">
        <v>0.00865806274311453</v>
      </c>
    </row>
    <row r="159" spans="1:2">
      <c r="A159" s="2">
        <v>0.00390371348047337</v>
      </c>
      <c r="B159" s="3">
        <v>-0.00345423486808756</v>
      </c>
    </row>
    <row r="160" spans="1:2">
      <c r="A160" s="2">
        <v>-0.0130720815673528</v>
      </c>
      <c r="B160" s="3">
        <v>-0.0245196171743186</v>
      </c>
    </row>
    <row r="161" spans="1:2">
      <c r="A161" s="2">
        <v>0.0246926125903714</v>
      </c>
      <c r="B161" s="3">
        <v>0.00706716722309235</v>
      </c>
    </row>
    <row r="162" spans="1:2">
      <c r="A162" s="2">
        <v>-0.00773199728332632</v>
      </c>
      <c r="B162" s="3">
        <v>-0.00706716722309244</v>
      </c>
    </row>
    <row r="163" spans="1:2">
      <c r="A163" s="2">
        <v>-0.0436288623892065</v>
      </c>
      <c r="B163" s="3">
        <v>-0.00890477834295972</v>
      </c>
    </row>
    <row r="164" spans="1:2">
      <c r="A164" s="2">
        <v>-0.0527167821724044</v>
      </c>
      <c r="B164" s="3">
        <v>0.0124446050480837</v>
      </c>
    </row>
    <row r="165" spans="1:2">
      <c r="A165" s="2">
        <v>0.0211424365738092</v>
      </c>
      <c r="B165" s="3">
        <v>-0.00887317268048657</v>
      </c>
    </row>
    <row r="166" spans="1:2">
      <c r="A166" s="2">
        <v>-0.00419287826003593</v>
      </c>
      <c r="B166" s="3">
        <v>-0.00178412179350144</v>
      </c>
    </row>
    <row r="167" spans="1:2">
      <c r="A167" s="2">
        <v>-0.0255333020051648</v>
      </c>
      <c r="B167" s="3">
        <v>0.00356506616449614</v>
      </c>
    </row>
    <row r="168" spans="1:2">
      <c r="A168" s="2">
        <v>-0.0321195494221127</v>
      </c>
      <c r="B168" s="3">
        <v>0.00177777824599936</v>
      </c>
    </row>
    <row r="169" spans="1:2">
      <c r="A169" s="2">
        <v>0.0147278067102434</v>
      </c>
      <c r="B169" s="3">
        <v>-0.0143115143932559</v>
      </c>
    </row>
    <row r="170" spans="1:2">
      <c r="A170" s="2">
        <v>0.0231224174208542</v>
      </c>
      <c r="B170" s="3">
        <v>0.00718135940866458</v>
      </c>
    </row>
    <row r="171" spans="1:2">
      <c r="A171" s="2">
        <v>0.0295588022415444</v>
      </c>
      <c r="B171" s="3">
        <v>-0.0126014268780038</v>
      </c>
    </row>
    <row r="172" spans="1:2">
      <c r="A172" s="2">
        <v>0.00691087753984701</v>
      </c>
      <c r="B172" s="3">
        <v>0.00180995524523939</v>
      </c>
    </row>
    <row r="173" spans="1:2">
      <c r="A173" s="2">
        <v>-0.0265193489282233</v>
      </c>
      <c r="B173" s="3">
        <v>0</v>
      </c>
    </row>
    <row r="174" spans="1:2">
      <c r="A174" s="2">
        <v>0.072287767383804</v>
      </c>
      <c r="B174" s="3">
        <v>0</v>
      </c>
    </row>
    <row r="175" spans="1:2">
      <c r="A175" s="2">
        <v>0.0104712998672954</v>
      </c>
      <c r="B175" s="3">
        <v>0.0179216266173556</v>
      </c>
    </row>
    <row r="176" spans="1:2">
      <c r="A176" s="2">
        <v>0.00389864041565732</v>
      </c>
      <c r="B176" s="3">
        <v>0.0106008059866405</v>
      </c>
    </row>
    <row r="177" spans="1:2">
      <c r="A177" s="2">
        <v>0.00646414661988924</v>
      </c>
      <c r="B177" s="3">
        <v>-0.0249123203798965</v>
      </c>
    </row>
    <row r="178" spans="1:2">
      <c r="A178" s="2">
        <v>-0.00776200533548919</v>
      </c>
      <c r="B178" s="3">
        <v>-0.0163491380015294</v>
      </c>
    </row>
    <row r="179" spans="1:2">
      <c r="A179" s="2">
        <v>0.00776200533548911</v>
      </c>
      <c r="B179" s="3">
        <v>0.00547946576462557</v>
      </c>
    </row>
    <row r="180" spans="1:2">
      <c r="A180" s="2">
        <v>-0.00906155067757474</v>
      </c>
      <c r="B180" s="3">
        <v>0.00363636764338393</v>
      </c>
    </row>
    <row r="181" spans="1:2">
      <c r="A181" s="2">
        <v>-0.0157277160681952</v>
      </c>
      <c r="B181" s="3">
        <v>0.00181323712418072</v>
      </c>
    </row>
    <row r="182" spans="1:2">
      <c r="A182" s="2">
        <v>-0.0186672087196896</v>
      </c>
      <c r="B182" s="3">
        <v>0.00361664047018851</v>
      </c>
    </row>
    <row r="183" spans="1:2">
      <c r="A183" s="2">
        <v>-0.0108255455049224</v>
      </c>
      <c r="B183" s="3">
        <v>0.00540055318000029</v>
      </c>
    </row>
    <row r="184" spans="1:2">
      <c r="A184" s="2">
        <v>-0.066081661279493</v>
      </c>
      <c r="B184" s="3">
        <v>-0.00720723840494927</v>
      </c>
    </row>
    <row r="185" spans="1:2">
      <c r="A185" s="2">
        <v>-0.0102265317838313</v>
      </c>
      <c r="B185" s="3">
        <v>-0.00543972329581821</v>
      </c>
    </row>
    <row r="186" spans="1:2">
      <c r="A186" s="2">
        <v>-0.0118169765047845</v>
      </c>
      <c r="B186" s="3">
        <v>0.00724640852076725</v>
      </c>
    </row>
    <row r="187" spans="1:2">
      <c r="A187" s="2">
        <v>-0.0676140729442873</v>
      </c>
      <c r="B187" s="3">
        <v>0.00898478640781526</v>
      </c>
    </row>
    <row r="188" spans="1:2">
      <c r="A188" s="2">
        <v>-0.0674043088018136</v>
      </c>
      <c r="B188" s="3">
        <v>0.00178731057409566</v>
      </c>
    </row>
    <row r="189" spans="1:2">
      <c r="A189" s="2">
        <v>-0.0136988443581619</v>
      </c>
      <c r="B189" s="3">
        <v>0.00356506616449614</v>
      </c>
    </row>
    <row r="190" spans="1:2">
      <c r="A190" s="2">
        <v>0</v>
      </c>
      <c r="B190" s="3">
        <v>0.0106195688274604</v>
      </c>
    </row>
    <row r="191" spans="1:2">
      <c r="A191" s="2">
        <v>0.04054609439435</v>
      </c>
      <c r="B191" s="3">
        <v>-0.0106195688274603</v>
      </c>
    </row>
    <row r="192" spans="1:2">
      <c r="A192" s="2">
        <v>0.0261452801043222</v>
      </c>
      <c r="B192" s="3">
        <v>0.0053238812527498</v>
      </c>
    </row>
    <row r="193" spans="1:2">
      <c r="A193" s="2">
        <v>0.00482704074831594</v>
      </c>
      <c r="B193" s="3">
        <v>0.00170827458104891</v>
      </c>
    </row>
    <row r="194" spans="1:2">
      <c r="A194" s="2">
        <v>-0.00160642604827369</v>
      </c>
      <c r="B194" s="3">
        <v>-0.0154769657482927</v>
      </c>
    </row>
    <row r="195" spans="1:2">
      <c r="A195" s="2">
        <v>0</v>
      </c>
      <c r="B195" s="3">
        <v>-0.0052138830838346</v>
      </c>
    </row>
    <row r="196" spans="1:2">
      <c r="A196" s="2">
        <v>-0.00322061470004217</v>
      </c>
      <c r="B196" s="3">
        <v>-0.00349108610653296</v>
      </c>
    </row>
    <row r="197" spans="1:2">
      <c r="A197" s="2">
        <v>-0.0179012103292402</v>
      </c>
      <c r="B197" s="3">
        <v>0.0295283633375014</v>
      </c>
    </row>
    <row r="198" spans="1:2">
      <c r="A198" s="2">
        <v>0</v>
      </c>
      <c r="B198" s="3">
        <v>0</v>
      </c>
    </row>
    <row r="199" spans="1:2">
      <c r="A199" s="2">
        <v>-0.0419172848816699</v>
      </c>
      <c r="B199" s="3">
        <v>0.0122272265695603</v>
      </c>
    </row>
    <row r="200" spans="1:2">
      <c r="A200" s="2">
        <v>0.00171086440362939</v>
      </c>
      <c r="B200" s="3">
        <v>-0.00173761989854085</v>
      </c>
    </row>
    <row r="201" spans="1:2">
      <c r="A201" s="2">
        <v>0.0629346715555966</v>
      </c>
      <c r="B201" s="3">
        <v>0.0138171455531419</v>
      </c>
    </row>
    <row r="202" spans="1:2">
      <c r="A202" s="2">
        <v>-0.017814236275127</v>
      </c>
      <c r="B202" s="3">
        <v>-0.034907558210802</v>
      </c>
    </row>
    <row r="203" spans="1:2">
      <c r="A203" s="2">
        <v>-0.0451204352804695</v>
      </c>
      <c r="B203" s="3">
        <v>0.00177462335836848</v>
      </c>
    </row>
    <row r="204" spans="1:2">
      <c r="A204" s="2">
        <v>-0.0172418064345061</v>
      </c>
      <c r="B204" s="3">
        <v>-0.00711746776886399</v>
      </c>
    </row>
    <row r="205" spans="1:2">
      <c r="A205" s="2">
        <v>-0.0444517625708338</v>
      </c>
      <c r="B205" s="3">
        <v>0.0124225199985571</v>
      </c>
    </row>
    <row r="206" spans="1:2">
      <c r="A206" s="2">
        <v>0</v>
      </c>
      <c r="B206" s="3">
        <v>-0.00176522552456919</v>
      </c>
    </row>
    <row r="207" spans="1:2">
      <c r="A207" s="2">
        <v>0.0322031404946347</v>
      </c>
      <c r="B207" s="3">
        <v>-0.010657294473988</v>
      </c>
    </row>
    <row r="208" spans="1:2">
      <c r="A208" s="2">
        <v>-0.00529568757471045</v>
      </c>
      <c r="B208" s="3">
        <v>0</v>
      </c>
    </row>
    <row r="209" spans="1:2">
      <c r="A209" s="2">
        <v>0.0175443096509095</v>
      </c>
      <c r="B209" s="3">
        <v>0.00534284441049545</v>
      </c>
    </row>
    <row r="210" spans="1:2">
      <c r="A210" s="2">
        <v>-0.00523104941755256</v>
      </c>
      <c r="B210" s="3">
        <v>0.0106008059866405</v>
      </c>
    </row>
    <row r="211" spans="1:2">
      <c r="A211" s="2">
        <v>-0.0668722444837914</v>
      </c>
      <c r="B211" s="3">
        <v>0.0104896066710194</v>
      </c>
    </row>
    <row r="212" spans="1:2">
      <c r="A212" s="2">
        <v>-0.0322915046365235</v>
      </c>
      <c r="B212" s="3">
        <v>-0.0336017465467681</v>
      </c>
    </row>
    <row r="213" spans="1:2">
      <c r="A213" s="2">
        <v>-0.0658263513219998</v>
      </c>
      <c r="B213" s="3">
        <v>-0.0669394826751094</v>
      </c>
    </row>
    <row r="214" spans="1:2">
      <c r="A214" s="2">
        <v>-0.0314161962333789</v>
      </c>
      <c r="B214" s="3">
        <v>0.0469569830877711</v>
      </c>
    </row>
    <row r="215" spans="1:2">
      <c r="A215" s="2">
        <v>0.0678574753956349</v>
      </c>
      <c r="B215" s="3">
        <v>0.0708260525686124</v>
      </c>
    </row>
    <row r="216" spans="1:2">
      <c r="A216" s="2">
        <v>-0.0200809960570491</v>
      </c>
      <c r="B216" s="3">
        <v>-0.0347861160854155</v>
      </c>
    </row>
    <row r="217" spans="1:2">
      <c r="A217" s="2">
        <v>0.0723678325034773</v>
      </c>
      <c r="B217" s="3">
        <v>0.0684027268844006</v>
      </c>
    </row>
    <row r="218" spans="1:2">
      <c r="A218" s="2">
        <v>0</v>
      </c>
      <c r="B218" s="3">
        <v>0.00494642393532562</v>
      </c>
    </row>
    <row r="219" spans="1:2">
      <c r="A219" s="2">
        <v>-0.032601161375398</v>
      </c>
      <c r="B219" s="3">
        <v>-0.00329489589685254</v>
      </c>
    </row>
    <row r="220" spans="1:2">
      <c r="A220" s="2">
        <v>-0.0019512201312618</v>
      </c>
      <c r="B220" s="3">
        <v>-0.00496278934212901</v>
      </c>
    </row>
    <row r="221" spans="1:2">
      <c r="A221" s="2">
        <v>0</v>
      </c>
      <c r="B221" s="3">
        <v>0.0131797624444098</v>
      </c>
    </row>
    <row r="222" spans="1:2">
      <c r="A222" s="2">
        <v>0.00584227562422836</v>
      </c>
      <c r="B222" s="3">
        <v>0.00163532334073084</v>
      </c>
    </row>
    <row r="223" spans="1:2">
      <c r="A223" s="2">
        <v>0</v>
      </c>
      <c r="B223" s="3">
        <v>0.00326264563481637</v>
      </c>
    </row>
    <row r="224" spans="1:2">
      <c r="A224" s="2">
        <v>-0.00389105549296656</v>
      </c>
      <c r="B224" s="3">
        <v>0</v>
      </c>
    </row>
    <row r="225" spans="1:2">
      <c r="A225" s="2">
        <v>-0.0612949243917289</v>
      </c>
      <c r="B225" s="3">
        <v>-0.00162999221093106</v>
      </c>
    </row>
    <row r="226" spans="1:2">
      <c r="A226" s="2">
        <v>-0.0188290081529077</v>
      </c>
      <c r="B226" s="3">
        <v>0.00812352152147935</v>
      </c>
    </row>
    <row r="227" spans="1:2">
      <c r="A227" s="2">
        <v>0</v>
      </c>
      <c r="B227" s="3">
        <v>0.00805806132976244</v>
      </c>
    </row>
    <row r="228" spans="1:2">
      <c r="A228" s="2">
        <v>-0.00105652413419998</v>
      </c>
      <c r="B228" s="3">
        <v>0.00320513094894833</v>
      </c>
    </row>
    <row r="229" spans="1:2">
      <c r="A229" s="2">
        <v>0.0105153439995229</v>
      </c>
      <c r="B229" s="3">
        <v>0.00796816964917688</v>
      </c>
    </row>
    <row r="230" spans="1:2">
      <c r="A230" s="2">
        <v>0.00208986491945924</v>
      </c>
      <c r="B230" s="3">
        <v>-0.0143887374520996</v>
      </c>
    </row>
    <row r="231" spans="1:2">
      <c r="A231" s="2">
        <v>-0.00208986491945924</v>
      </c>
      <c r="B231" s="3">
        <v>-0.00161160389434153</v>
      </c>
    </row>
    <row r="232" spans="1:2">
      <c r="A232" s="2">
        <v>-0.0179424338431384</v>
      </c>
      <c r="B232" s="3">
        <v>0.00322061470004216</v>
      </c>
    </row>
    <row r="233" spans="1:2">
      <c r="A233" s="2">
        <v>-0.0313708796973672</v>
      </c>
      <c r="B233" s="3">
        <v>0.00321027563024819</v>
      </c>
    </row>
    <row r="234" spans="1:2">
      <c r="A234" s="2">
        <v>-0.00440529346791638</v>
      </c>
      <c r="B234" s="3">
        <v>0.00160128136697383</v>
      </c>
    </row>
    <row r="235" spans="1:2">
      <c r="A235" s="2">
        <v>-0.0077562715713591</v>
      </c>
      <c r="B235" s="3">
        <v>0.00319489089651929</v>
      </c>
    </row>
    <row r="236" spans="1:2">
      <c r="A236" s="2">
        <v>-0.0304936105626406</v>
      </c>
      <c r="B236" s="3">
        <v>0.00318471606751992</v>
      </c>
    </row>
    <row r="237" spans="1:2">
      <c r="A237" s="2">
        <v>-0.0208582301204098</v>
      </c>
      <c r="B237" s="3">
        <v>-0.00318471606751984</v>
      </c>
    </row>
    <row r="238" spans="1:2">
      <c r="A238" s="2">
        <v>-0.0153395338156218</v>
      </c>
      <c r="B238" s="3">
        <v>0.0126784582597709</v>
      </c>
    </row>
    <row r="239" spans="1:2">
      <c r="A239" s="2">
        <v>0.011820468600426</v>
      </c>
      <c r="B239" s="3">
        <v>-0.00473560474583424</v>
      </c>
    </row>
    <row r="240" spans="1:2">
      <c r="A240" s="2">
        <v>-0.0322415986639024</v>
      </c>
      <c r="B240" s="3">
        <v>-0.015949301407678</v>
      </c>
    </row>
    <row r="241" spans="1:2">
      <c r="A241" s="2">
        <v>-0.00364742045704353</v>
      </c>
      <c r="B241" s="3">
        <v>0</v>
      </c>
    </row>
    <row r="242" spans="1:2">
      <c r="A242" s="2">
        <v>-0.00856274344988791</v>
      </c>
      <c r="B242" s="3">
        <v>0.0143657698020337</v>
      </c>
    </row>
    <row r="243" spans="1:2">
      <c r="A243" s="2">
        <v>0.00122774723832234</v>
      </c>
      <c r="B243" s="3">
        <v>-0.00317460584077265</v>
      </c>
    </row>
    <row r="244" spans="1:2">
      <c r="A244" s="2">
        <v>-0.0123458358222994</v>
      </c>
      <c r="B244" s="3">
        <v>0.0142070266443493</v>
      </c>
    </row>
    <row r="245" spans="1:2">
      <c r="A245" s="2">
        <v>0.00124146508806495</v>
      </c>
      <c r="B245" s="3">
        <v>-0.0383433551976474</v>
      </c>
    </row>
    <row r="246" spans="1:2">
      <c r="A246" s="2">
        <v>0.00618431160878452</v>
      </c>
      <c r="B246" s="3">
        <v>-0.0114661370876442</v>
      </c>
    </row>
    <row r="247" spans="1:2">
      <c r="A247" s="2">
        <v>-0.0364133135701018</v>
      </c>
      <c r="B247" s="3">
        <v>0.00164609090666872</v>
      </c>
    </row>
    <row r="248" spans="1:2">
      <c r="A248" s="2">
        <v>-0.00512821636691946</v>
      </c>
      <c r="B248" s="3">
        <v>-0.00825768523898158</v>
      </c>
    </row>
    <row r="249" spans="1:2">
      <c r="A249" s="2">
        <v>-0.00257400399517288</v>
      </c>
      <c r="B249" s="3">
        <v>-0.00498754151103905</v>
      </c>
    </row>
    <row r="250" spans="1:2">
      <c r="A250" s="2">
        <v>0</v>
      </c>
      <c r="B250" s="3">
        <v>0.00498754151103897</v>
      </c>
    </row>
    <row r="251" spans="1:2">
      <c r="A251" s="2">
        <v>-0.00128949082987175</v>
      </c>
      <c r="B251" s="3">
        <v>0.00661159433231279</v>
      </c>
    </row>
    <row r="252" spans="1:2">
      <c r="A252" s="2">
        <v>-0.0195445960729703</v>
      </c>
      <c r="B252" s="3">
        <v>0.00493016610785859</v>
      </c>
    </row>
    <row r="253" spans="1:2">
      <c r="A253" s="2">
        <v>-0.00660068403135202</v>
      </c>
      <c r="B253" s="3">
        <v>-0.00988475923254197</v>
      </c>
    </row>
    <row r="254" spans="1:2">
      <c r="A254" s="2">
        <v>0.00132362693050835</v>
      </c>
      <c r="B254" s="3">
        <v>0.00330578813449941</v>
      </c>
    </row>
    <row r="255" spans="1:2">
      <c r="A255" s="2">
        <v>0.024821653173814</v>
      </c>
      <c r="B255" s="3">
        <v>0.00329489589685248</v>
      </c>
    </row>
    <row r="256" spans="1:2">
      <c r="A256" s="2">
        <v>0.00128949082987169</v>
      </c>
      <c r="B256" s="3">
        <v>-0.00164609090666879</v>
      </c>
    </row>
    <row r="257" spans="1:2">
      <c r="A257" s="2">
        <v>0.00128783018442869</v>
      </c>
      <c r="B257" s="3">
        <v>0.0130934767470196</v>
      </c>
    </row>
    <row r="258" spans="1:2">
      <c r="A258" s="2">
        <v>-0.0025773210143004</v>
      </c>
      <c r="B258" s="3">
        <v>-0.0213648224976968</v>
      </c>
    </row>
    <row r="259" spans="1:2">
      <c r="A259" s="2">
        <v>0.00643089033029033</v>
      </c>
      <c r="B259" s="3">
        <v>0.0049710127220204</v>
      </c>
    </row>
    <row r="260" spans="1:2">
      <c r="A260" s="2">
        <v>0.0127390257774297</v>
      </c>
      <c r="B260" s="3">
        <v>0.027711634708338</v>
      </c>
    </row>
    <row r="261" spans="1:2">
      <c r="A261" s="2">
        <v>0</v>
      </c>
      <c r="B261" s="3">
        <v>-0.00322061470004217</v>
      </c>
    </row>
    <row r="262" spans="1:2">
      <c r="A262" s="2">
        <v>0</v>
      </c>
      <c r="B262" s="3">
        <v>-0.00647251450561748</v>
      </c>
    </row>
    <row r="263" spans="1:2">
      <c r="A263" s="2">
        <v>0.0125787822068602</v>
      </c>
      <c r="B263" s="3">
        <v>0.00324149392417102</v>
      </c>
    </row>
    <row r="264" spans="1:2">
      <c r="A264" s="2">
        <v>0</v>
      </c>
      <c r="B264" s="3">
        <v>0.00161681522690526</v>
      </c>
    </row>
    <row r="265" spans="1:2">
      <c r="A265" s="2">
        <v>0.00249688019858715</v>
      </c>
      <c r="B265" s="3">
        <v>0.0016142053545412</v>
      </c>
    </row>
    <row r="266" spans="1:2">
      <c r="A266" s="2">
        <v>-0.00249688019858715</v>
      </c>
      <c r="B266" s="3">
        <v>-0.00161420535454111</v>
      </c>
    </row>
    <row r="267" spans="1:2">
      <c r="A267" s="2">
        <v>0</v>
      </c>
      <c r="B267" s="3">
        <v>-0.0032362487792083</v>
      </c>
    </row>
    <row r="268" spans="1:2">
      <c r="A268" s="2">
        <v>0</v>
      </c>
      <c r="B268" s="3">
        <v>-0.00162206037186806</v>
      </c>
    </row>
    <row r="269" spans="1:2">
      <c r="A269" s="2">
        <v>0</v>
      </c>
      <c r="B269" s="3">
        <v>-0.00325203538637734</v>
      </c>
    </row>
    <row r="270" spans="1:2">
      <c r="A270" s="2">
        <v>0</v>
      </c>
      <c r="B270" s="3">
        <v>-0.00162999221093106</v>
      </c>
    </row>
    <row r="271" spans="1:2">
      <c r="A271" s="2">
        <v>0.00995033085316809</v>
      </c>
      <c r="B271" s="3">
        <v>0.00812352152147935</v>
      </c>
    </row>
    <row r="272" spans="1:2">
      <c r="A272" s="2">
        <v>-0.00995033085316809</v>
      </c>
      <c r="B272" s="3">
        <v>-0.00161943355230299</v>
      </c>
    </row>
    <row r="273" spans="1:2">
      <c r="A273" s="2">
        <v>0</v>
      </c>
      <c r="B273" s="3">
        <v>0</v>
      </c>
    </row>
    <row r="274" spans="1:2">
      <c r="A274" s="2">
        <v>0</v>
      </c>
      <c r="B274" s="3">
        <v>0.0128826258310136</v>
      </c>
    </row>
    <row r="275" spans="1:2">
      <c r="A275" s="2">
        <v>0</v>
      </c>
      <c r="B275" s="3">
        <v>0.00796816964917688</v>
      </c>
    </row>
    <row r="276" spans="1:2">
      <c r="A276" s="2">
        <v>0</v>
      </c>
      <c r="B276" s="3">
        <v>0.00158604315563478</v>
      </c>
    </row>
    <row r="277" spans="1:2">
      <c r="A277" s="2">
        <v>0</v>
      </c>
      <c r="B277" s="3">
        <v>0.00474309189601285</v>
      </c>
    </row>
    <row r="278" spans="1:2">
      <c r="A278" s="2">
        <v>0.00747201483870106</v>
      </c>
      <c r="B278" s="3">
        <v>-0.00157853229304973</v>
      </c>
    </row>
    <row r="279" spans="1:2">
      <c r="A279" s="2">
        <v>0.00123992576332057</v>
      </c>
      <c r="B279" s="3">
        <v>0.00786786120061374</v>
      </c>
    </row>
    <row r="280" spans="1:2">
      <c r="A280" s="2">
        <v>0.00740744127786182</v>
      </c>
      <c r="B280" s="3">
        <v>0</v>
      </c>
    </row>
    <row r="281" spans="1:2">
      <c r="A281" s="2">
        <v>-0.00123076938613262</v>
      </c>
      <c r="B281" s="3">
        <v>0.00156617103274488</v>
      </c>
    </row>
    <row r="282" spans="1:2">
      <c r="A282" s="2">
        <v>-0.00617667189172917</v>
      </c>
      <c r="B282" s="3">
        <v>-0.00155363192640687</v>
      </c>
    </row>
    <row r="283" spans="1:2">
      <c r="A283" s="2">
        <v>0.00617667189172914</v>
      </c>
      <c r="B283" s="3">
        <v>0.0015536319264069</v>
      </c>
    </row>
    <row r="284" spans="1:2">
      <c r="A284" s="2">
        <v>-0.00617667189172917</v>
      </c>
      <c r="B284" s="3">
        <v>0.00927299154616595</v>
      </c>
    </row>
    <row r="285" spans="1:2">
      <c r="A285" s="2">
        <v>-0.00372439909098244</v>
      </c>
      <c r="B285" s="3">
        <v>-0.0170669791828118</v>
      </c>
    </row>
    <row r="286" spans="1:2">
      <c r="A286" s="2">
        <v>0.0172630674237808</v>
      </c>
      <c r="B286" s="3">
        <v>0.0124420107621506</v>
      </c>
    </row>
    <row r="287" spans="1:2">
      <c r="A287" s="2">
        <v>0.00973243691823105</v>
      </c>
      <c r="B287" s="3">
        <v>-0.00154798189234042</v>
      </c>
    </row>
    <row r="288" spans="1:2">
      <c r="A288" s="2">
        <v>-0.00851068966790862</v>
      </c>
      <c r="B288" s="3">
        <v>0.00617295031300158</v>
      </c>
    </row>
    <row r="289" spans="1:2">
      <c r="A289" s="2">
        <v>-0.00735297430525881</v>
      </c>
      <c r="B289" s="3">
        <v>-0.0123826729275792</v>
      </c>
    </row>
    <row r="290" spans="1:2">
      <c r="A290" s="2">
        <v>0.00245700369305208</v>
      </c>
      <c r="B290" s="3">
        <v>0.0062097226145776</v>
      </c>
    </row>
    <row r="291" spans="1:2">
      <c r="A291" s="2">
        <v>0.00245098161914016</v>
      </c>
      <c r="B291" s="3">
        <v>-0.00620972261457755</v>
      </c>
    </row>
    <row r="292" spans="1:2">
      <c r="A292" s="2">
        <v>0.00244498899306644</v>
      </c>
      <c r="B292" s="3">
        <v>-0.00468430625523268</v>
      </c>
    </row>
    <row r="293" spans="1:2">
      <c r="A293" s="2">
        <v>0.0121360712822255</v>
      </c>
      <c r="B293" s="3">
        <v>0.00312425946736138</v>
      </c>
    </row>
    <row r="294" spans="1:2">
      <c r="A294" s="2">
        <v>0.00120554565534869</v>
      </c>
      <c r="B294" s="3">
        <v>0</v>
      </c>
    </row>
    <row r="295" spans="1:2">
      <c r="A295" s="2">
        <v>-0.00241254640538388</v>
      </c>
      <c r="B295" s="3">
        <v>0.00311609624287772</v>
      </c>
    </row>
    <row r="296" spans="1:2">
      <c r="A296" s="2">
        <v>-0.0319045465187452</v>
      </c>
      <c r="B296" s="3">
        <v>-0.0156753148234858</v>
      </c>
    </row>
    <row r="297" spans="1:2">
      <c r="A297" s="2">
        <v>0.0197537287362326</v>
      </c>
      <c r="B297" s="3">
        <v>0.00943495911324693</v>
      </c>
    </row>
    <row r="298" spans="1:2">
      <c r="A298" s="2">
        <v>-0.00367422336188434</v>
      </c>
      <c r="B298" s="3">
        <v>0.00934520953470289</v>
      </c>
    </row>
    <row r="299" spans="1:2">
      <c r="A299" s="2">
        <v>0.00122624172324429</v>
      </c>
      <c r="B299" s="3">
        <v>0.00154881933510736</v>
      </c>
    </row>
    <row r="300" spans="1:2">
      <c r="A300" s="2">
        <v>0.00732604009207288</v>
      </c>
      <c r="B300" s="3">
        <v>-0.00154881933510739</v>
      </c>
    </row>
    <row r="301" spans="1:2">
      <c r="A301" s="2">
        <v>0.0192777054259031</v>
      </c>
      <c r="B301" s="3">
        <v>0.00154881933510736</v>
      </c>
    </row>
    <row r="302" spans="1:2">
      <c r="A302" s="2">
        <v>0.0118625353098199</v>
      </c>
      <c r="B302" s="3">
        <v>0.0030920159561545</v>
      </c>
    </row>
    <row r="303" spans="1:2">
      <c r="A303" s="2">
        <v>0.00705055799666676</v>
      </c>
      <c r="B303" s="3">
        <v>-0.0077456891157256</v>
      </c>
    </row>
    <row r="304" spans="1:2">
      <c r="A304" s="2">
        <v>-0.0260987529673613</v>
      </c>
      <c r="B304" s="3">
        <v>0</v>
      </c>
    </row>
    <row r="305" spans="1:2">
      <c r="A305" s="2">
        <v>0.0400524677412265</v>
      </c>
      <c r="B305" s="3">
        <v>-0.00624035571023898</v>
      </c>
    </row>
    <row r="306" spans="1:2">
      <c r="A306" s="2">
        <v>0</v>
      </c>
      <c r="B306" s="3">
        <v>-0.00470635229121198</v>
      </c>
    </row>
    <row r="307" spans="1:2">
      <c r="A307" s="2">
        <v>-0.025732413966478</v>
      </c>
      <c r="B307" s="3">
        <v>-0.00947807991918752</v>
      </c>
    </row>
    <row r="308" spans="1:2">
      <c r="A308" s="2">
        <v>-0.0337381396318501</v>
      </c>
      <c r="B308" s="3">
        <v>0.00316882046216455</v>
      </c>
    </row>
    <row r="309" spans="1:2">
      <c r="A309" s="2">
        <v>-0.0135720775455436</v>
      </c>
      <c r="B309" s="3">
        <v>0.00787997854212964</v>
      </c>
    </row>
    <row r="310" spans="1:2">
      <c r="A310" s="2">
        <v>0.00248139085138548</v>
      </c>
      <c r="B310" s="3">
        <v>0.0202026123889171</v>
      </c>
    </row>
    <row r="311" spans="1:2">
      <c r="A311" s="2">
        <v>-0.00123992576332055</v>
      </c>
      <c r="B311" s="3">
        <v>0</v>
      </c>
    </row>
    <row r="312" spans="1:2">
      <c r="A312" s="2">
        <v>0</v>
      </c>
      <c r="B312" s="3">
        <v>-0.00153928065932899</v>
      </c>
    </row>
    <row r="313" spans="1:2">
      <c r="A313" s="2">
        <v>0.00741659765504962</v>
      </c>
      <c r="B313" s="3">
        <v>0.00461229775148487</v>
      </c>
    </row>
    <row r="314" spans="1:2">
      <c r="A314" s="2">
        <v>-0.0148886124937506</v>
      </c>
      <c r="B314" s="3">
        <v>0.00763917893585654</v>
      </c>
    </row>
    <row r="315" spans="1:2">
      <c r="A315" s="2">
        <v>0.0344014267173323</v>
      </c>
      <c r="B315" s="3">
        <v>0.00304032374298038</v>
      </c>
    </row>
    <row r="316" spans="1:2">
      <c r="A316" s="2">
        <v>0.00361664047018851</v>
      </c>
      <c r="B316" s="3">
        <v>-0.00151977225020121</v>
      </c>
    </row>
    <row r="317" spans="1:2">
      <c r="A317" s="2">
        <v>-0.00120409406480456</v>
      </c>
      <c r="B317" s="3">
        <v>-0.00456860833662017</v>
      </c>
    </row>
    <row r="318" spans="1:2">
      <c r="A318" s="2">
        <v>0</v>
      </c>
      <c r="B318" s="3">
        <v>0.0015251897527862</v>
      </c>
    </row>
    <row r="319" spans="1:2">
      <c r="A319" s="2">
        <v>0</v>
      </c>
      <c r="B319" s="3">
        <v>0.00304341858383385</v>
      </c>
    </row>
    <row r="320" spans="1:2">
      <c r="A320" s="2">
        <v>0</v>
      </c>
      <c r="B320" s="3">
        <v>0.00454935574003944</v>
      </c>
    </row>
    <row r="321" spans="1:2">
      <c r="A321" s="2">
        <v>-0.00846950011357383</v>
      </c>
      <c r="B321" s="3">
        <v>0.00302043282942808</v>
      </c>
    </row>
    <row r="322" spans="1:2">
      <c r="A322" s="2">
        <v>0.0381452682596905</v>
      </c>
      <c r="B322" s="3">
        <v>0.0105032530991674</v>
      </c>
    </row>
    <row r="323" spans="1:2">
      <c r="A323" s="2">
        <v>-0.00117027514819032</v>
      </c>
      <c r="B323" s="3">
        <v>0.00298142053749163</v>
      </c>
    </row>
    <row r="324" spans="1:2">
      <c r="A324" s="2">
        <v>0.0265757985836131</v>
      </c>
      <c r="B324" s="3">
        <v>0.0118331343476311</v>
      </c>
    </row>
    <row r="325" spans="1:2">
      <c r="A325" s="2">
        <v>0</v>
      </c>
      <c r="B325" s="3">
        <v>0.00586520612469122</v>
      </c>
    </row>
    <row r="326" spans="1:2">
      <c r="A326" s="2">
        <v>0.0693728828918666</v>
      </c>
      <c r="B326" s="3">
        <v>-0.0162117056723357</v>
      </c>
    </row>
    <row r="327" spans="1:2">
      <c r="A327" s="2">
        <v>0.0262482260749364</v>
      </c>
      <c r="B327" s="3">
        <v>0</v>
      </c>
    </row>
    <row r="328" spans="1:2">
      <c r="A328" s="2">
        <v>-0.00937018828758463</v>
      </c>
      <c r="B328" s="3">
        <v>0</v>
      </c>
    </row>
    <row r="329" spans="1:2">
      <c r="A329" s="2">
        <v>-0.0548229693514751</v>
      </c>
      <c r="B329" s="3">
        <v>0.00148442799726188</v>
      </c>
    </row>
    <row r="330" spans="1:2">
      <c r="A330" s="2">
        <v>-0.00332042363730241</v>
      </c>
      <c r="B330" s="3">
        <v>0.00296375259028297</v>
      </c>
    </row>
    <row r="331" spans="1:2">
      <c r="A331" s="2">
        <v>-0.00221975673831289</v>
      </c>
      <c r="B331" s="3">
        <v>-0.00148152485377484</v>
      </c>
    </row>
    <row r="332" spans="1:2">
      <c r="A332" s="2">
        <v>-0.0078081824478117</v>
      </c>
      <c r="B332" s="3">
        <v>-0.010423538344483</v>
      </c>
    </row>
    <row r="333" spans="1:2">
      <c r="A333" s="2">
        <v>0.0155558692386376</v>
      </c>
      <c r="B333" s="3">
        <v>0.00597024781072681</v>
      </c>
    </row>
    <row r="334" spans="1:2">
      <c r="A334" s="2">
        <v>-0.039353026206157</v>
      </c>
      <c r="B334" s="3">
        <v>0.00741265991078631</v>
      </c>
    </row>
    <row r="335" spans="1:2">
      <c r="A335" s="2">
        <v>-0.0338224659071242</v>
      </c>
      <c r="B335" s="3">
        <v>0</v>
      </c>
    </row>
    <row r="336" spans="1:2">
      <c r="A336" s="2">
        <v>0.00826939148250677</v>
      </c>
      <c r="B336" s="3">
        <v>0.00147566372131039</v>
      </c>
    </row>
    <row r="337" spans="1:2">
      <c r="A337" s="2">
        <v>-0.0214039086631535</v>
      </c>
      <c r="B337" s="3">
        <v>0.00588245272674869</v>
      </c>
    </row>
    <row r="338" spans="1:2">
      <c r="A338" s="2">
        <v>-0.00966191091173686</v>
      </c>
      <c r="B338" s="3">
        <v>-0.0162611265067168</v>
      </c>
    </row>
    <row r="339" spans="1:2">
      <c r="A339" s="2">
        <v>0.00725517088117202</v>
      </c>
      <c r="B339" s="3">
        <v>0.0206507362275932</v>
      </c>
    </row>
    <row r="340" spans="1:2">
      <c r="A340" s="2">
        <v>0.00240674003056506</v>
      </c>
      <c r="B340" s="3">
        <v>0.02593768520609</v>
      </c>
    </row>
    <row r="341" spans="1:2">
      <c r="A341" s="2">
        <v>0.0423592738391416</v>
      </c>
      <c r="B341" s="3">
        <v>-0.00284976350334571</v>
      </c>
    </row>
    <row r="342" spans="1:2">
      <c r="A342" s="2">
        <v>0.00115141060504184</v>
      </c>
      <c r="B342" s="3">
        <v>0</v>
      </c>
    </row>
    <row r="343" spans="1:2">
      <c r="A343" s="2">
        <v>-0.0150727491236499</v>
      </c>
      <c r="B343" s="3">
        <v>0</v>
      </c>
    </row>
    <row r="344" spans="1:2">
      <c r="A344" s="2">
        <v>0.013921338518608</v>
      </c>
      <c r="B344" s="3">
        <v>0.0127583344035901</v>
      </c>
    </row>
    <row r="345" spans="1:2">
      <c r="A345" s="2">
        <v>0.0227800283318199</v>
      </c>
      <c r="B345" s="3">
        <v>-0.00423471773285183</v>
      </c>
    </row>
    <row r="346" spans="1:2">
      <c r="A346" s="2">
        <v>-0.00564654238821005</v>
      </c>
      <c r="B346" s="3">
        <v>-0.0156815872295763</v>
      </c>
    </row>
    <row r="347" spans="1:2">
      <c r="A347" s="2">
        <v>0.00226244440396954</v>
      </c>
      <c r="B347" s="3">
        <v>0.0100077340621836</v>
      </c>
    </row>
    <row r="348" spans="1:2">
      <c r="A348" s="2">
        <v>-0.0136520891683273</v>
      </c>
      <c r="B348" s="3">
        <v>0.00213093283134476</v>
      </c>
    </row>
    <row r="349" spans="1:2">
      <c r="A349" s="2">
        <v>0.00228833051801222</v>
      </c>
      <c r="B349" s="3">
        <v>-0.00274757325058209</v>
      </c>
    </row>
    <row r="350" spans="1:2">
      <c r="A350" s="2">
        <v>0.00910131424634556</v>
      </c>
      <c r="B350" s="3">
        <v>0.00821875271315288</v>
      </c>
    </row>
    <row r="351" spans="1:2">
      <c r="A351" s="2">
        <v>-0.00567860696884334</v>
      </c>
      <c r="B351" s="3">
        <v>0</v>
      </c>
    </row>
    <row r="352" spans="1:2">
      <c r="A352" s="2">
        <v>0.00227531383713561</v>
      </c>
      <c r="B352" s="3">
        <v>0.00136348567248691</v>
      </c>
    </row>
    <row r="353" spans="1:2">
      <c r="A353" s="2">
        <v>-0.0524901826213967</v>
      </c>
      <c r="B353" s="3">
        <v>-0.0206472005838158</v>
      </c>
    </row>
    <row r="354" spans="1:2">
      <c r="A354" s="2">
        <v>0.0295006643966978</v>
      </c>
      <c r="B354" s="3">
        <v>0.0138125354487581</v>
      </c>
    </row>
    <row r="355" spans="1:2">
      <c r="A355" s="2">
        <v>0.00232288141613973</v>
      </c>
      <c r="B355" s="3">
        <v>0.0243914531241593</v>
      </c>
    </row>
    <row r="356" spans="1:2">
      <c r="A356" s="2">
        <v>-0.00232288141613964</v>
      </c>
      <c r="B356" s="3">
        <v>-0.00133974025729253</v>
      </c>
    </row>
    <row r="357" spans="1:2">
      <c r="A357" s="2">
        <v>-0.0046620131058113</v>
      </c>
      <c r="B357" s="3">
        <v>0.00401384805381019</v>
      </c>
    </row>
    <row r="358" spans="1:2">
      <c r="A358" s="2">
        <v>0.00466201310581137</v>
      </c>
      <c r="B358" s="3">
        <v>-0.00133616004196181</v>
      </c>
    </row>
    <row r="359" spans="1:2">
      <c r="A359" s="2">
        <v>0.0207142043875632</v>
      </c>
      <c r="B359" s="3">
        <v>0.00798892776017709</v>
      </c>
    </row>
    <row r="360" spans="1:2">
      <c r="A360" s="2">
        <v>-0.00342270727750228</v>
      </c>
      <c r="B360" s="3">
        <v>-0.00932687551473303</v>
      </c>
    </row>
    <row r="361" spans="1:2">
      <c r="A361" s="2">
        <v>-0.0289875368732523</v>
      </c>
      <c r="B361" s="3">
        <v>-0.00536976423681488</v>
      </c>
    </row>
    <row r="362" spans="1:2">
      <c r="A362" s="2">
        <v>-0.0238106486937186</v>
      </c>
      <c r="B362" s="3">
        <v>-0.00539734314827964</v>
      </c>
    </row>
    <row r="363" spans="1:2">
      <c r="A363" s="2">
        <v>0</v>
      </c>
      <c r="B363" s="3">
        <v>-0.00542805149359041</v>
      </c>
    </row>
    <row r="364" spans="1:2">
      <c r="A364" s="2">
        <v>-0.0145633641878966</v>
      </c>
      <c r="B364" s="3">
        <v>0.00542805149359032</v>
      </c>
    </row>
    <row r="365" spans="1:2">
      <c r="A365" s="2">
        <v>0.0121508177825125</v>
      </c>
      <c r="B365" s="3">
        <v>-0.00542805149359041</v>
      </c>
    </row>
    <row r="366" spans="1:2">
      <c r="A366" s="2">
        <v>-0.0219789067187752</v>
      </c>
      <c r="B366" s="3">
        <v>-0.00136162911041653</v>
      </c>
    </row>
    <row r="367" spans="1:2">
      <c r="A367" s="2">
        <v>-0.0186921330121525</v>
      </c>
      <c r="B367" s="3">
        <v>0.0202308957856192</v>
      </c>
    </row>
    <row r="368" spans="1:2">
      <c r="A368" s="2">
        <v>0.00125707119005111</v>
      </c>
      <c r="B368" s="3">
        <v>-0.00939083059012434</v>
      </c>
    </row>
    <row r="369" spans="1:2">
      <c r="A369" s="2">
        <v>-0.00125707119005109</v>
      </c>
      <c r="B369" s="3">
        <v>0.0147163038077669</v>
      </c>
    </row>
    <row r="370" spans="1:2">
      <c r="A370" s="2">
        <v>-0.00884402479645277</v>
      </c>
      <c r="B370" s="3">
        <v>0.00397661003255523</v>
      </c>
    </row>
    <row r="371" spans="1:2">
      <c r="A371" s="2">
        <v>-0.0205135398331029</v>
      </c>
      <c r="B371" s="3">
        <v>0.00527629476597985</v>
      </c>
    </row>
    <row r="372" spans="1:2">
      <c r="A372" s="2">
        <v>-0.00519481687710402</v>
      </c>
      <c r="B372" s="3">
        <v>-0.0293738463450403</v>
      </c>
    </row>
    <row r="373" spans="1:2">
      <c r="A373" s="2">
        <v>-0.0144264797102234</v>
      </c>
      <c r="B373" s="3">
        <v>0</v>
      </c>
    </row>
    <row r="374" spans="1:2">
      <c r="A374" s="2">
        <v>-0.017322218604357</v>
      </c>
      <c r="B374" s="3">
        <v>0.00270667477297821</v>
      </c>
    </row>
    <row r="375" spans="1:2">
      <c r="A375" s="2">
        <v>-0.0231145572995725</v>
      </c>
      <c r="B375" s="3">
        <v>-0.00270667477297811</v>
      </c>
    </row>
    <row r="376" spans="1:2">
      <c r="A376" s="2">
        <v>0.00411805660891755</v>
      </c>
      <c r="B376" s="3">
        <v>-0.0108991317253701</v>
      </c>
    </row>
    <row r="377" spans="1:2">
      <c r="A377" s="2">
        <v>0.0189965006906551</v>
      </c>
      <c r="B377" s="3">
        <v>0.00410021859612657</v>
      </c>
    </row>
    <row r="378" spans="1:2">
      <c r="A378" s="2">
        <v>0.010695289116748</v>
      </c>
      <c r="B378" s="3">
        <v>-0.00821875271315288</v>
      </c>
    </row>
    <row r="379" spans="1:2">
      <c r="A379" s="2">
        <v>-0.0106952891167479</v>
      </c>
      <c r="B379" s="3">
        <v>0.0150176658423965</v>
      </c>
    </row>
    <row r="380" spans="1:2">
      <c r="A380" s="2">
        <v>-0.0666913744986723</v>
      </c>
      <c r="B380" s="3">
        <v>-0.0150176658423964</v>
      </c>
    </row>
    <row r="381" spans="1:2">
      <c r="A381" s="2">
        <v>-0.00865806274311454</v>
      </c>
      <c r="B381" s="3">
        <v>-0.0464540312846355</v>
      </c>
    </row>
    <row r="382" spans="1:2">
      <c r="A382" s="2">
        <v>0.0425596144187959</v>
      </c>
      <c r="B382" s="3">
        <v>0.0298096049065663</v>
      </c>
    </row>
    <row r="383" spans="1:2">
      <c r="A383" s="2">
        <v>0.0124225199985571</v>
      </c>
      <c r="B383" s="3">
        <v>-0.0169246757402588</v>
      </c>
    </row>
    <row r="384" spans="1:2">
      <c r="A384" s="2">
        <v>0.00683529660585744</v>
      </c>
      <c r="B384" s="3">
        <v>0.0183224629751283</v>
      </c>
    </row>
    <row r="385" spans="1:2">
      <c r="A385" s="2">
        <v>0</v>
      </c>
      <c r="B385" s="3">
        <v>-0.0560079043840333</v>
      </c>
    </row>
    <row r="386" spans="1:2">
      <c r="A386" s="2">
        <v>0.0108402145528648</v>
      </c>
      <c r="B386" s="3">
        <v>-0.00741379200628797</v>
      </c>
    </row>
    <row r="387" spans="1:2">
      <c r="A387" s="2">
        <v>0.0173685060816442</v>
      </c>
      <c r="B387" s="3">
        <v>-0.02105271579765</v>
      </c>
    </row>
    <row r="388" spans="1:2">
      <c r="A388" s="2">
        <v>0.00132362693050835</v>
      </c>
      <c r="B388" s="3">
        <v>-0.00304449512133056</v>
      </c>
    </row>
    <row r="389" spans="1:2">
      <c r="A389" s="2">
        <v>0.00132187725791585</v>
      </c>
      <c r="B389" s="3">
        <v>0</v>
      </c>
    </row>
    <row r="390" spans="1:2">
      <c r="A390" s="2">
        <v>0</v>
      </c>
      <c r="B390" s="3">
        <v>0.00456327386562688</v>
      </c>
    </row>
    <row r="391" spans="1:2">
      <c r="A391" s="2">
        <v>0.00132013220492282</v>
      </c>
      <c r="B391" s="3">
        <v>-0.00761706625017694</v>
      </c>
    </row>
    <row r="392" spans="1:2">
      <c r="A392" s="2">
        <v>-0.00132013220492284</v>
      </c>
      <c r="B392" s="3">
        <v>-0.00153040044487707</v>
      </c>
    </row>
    <row r="393" spans="1:2">
      <c r="A393" s="2">
        <v>-0.0106242699202293</v>
      </c>
      <c r="B393" s="3">
        <v>0.00914746669505406</v>
      </c>
    </row>
    <row r="394" spans="1:2">
      <c r="A394" s="2">
        <v>-0.00401338331345868</v>
      </c>
      <c r="B394" s="3">
        <v>-0.0030398676865911</v>
      </c>
    </row>
    <row r="395" spans="1:2">
      <c r="A395" s="2">
        <v>0.0159577854386108</v>
      </c>
      <c r="B395" s="3">
        <v>0.00606894485492806</v>
      </c>
    </row>
    <row r="396" spans="1:2">
      <c r="A396" s="2">
        <v>0.00263504763800503</v>
      </c>
      <c r="B396" s="3">
        <v>0.00151189244704235</v>
      </c>
    </row>
    <row r="397" spans="1:2">
      <c r="A397" s="2">
        <v>0.0130720815673527</v>
      </c>
      <c r="B397" s="3">
        <v>0.00150961007853257</v>
      </c>
    </row>
    <row r="398" spans="1:2">
      <c r="A398" s="2">
        <v>-0.0012995453420855</v>
      </c>
      <c r="B398" s="3">
        <v>0</v>
      </c>
    </row>
    <row r="399" spans="1:2">
      <c r="A399" s="2">
        <v>-0.00521513567910816</v>
      </c>
      <c r="B399" s="3">
        <v>0.00751405460217609</v>
      </c>
    </row>
    <row r="400" spans="1:2">
      <c r="A400" s="2">
        <v>0.00130633591405546</v>
      </c>
      <c r="B400" s="3">
        <v>0.0104241704052402</v>
      </c>
    </row>
    <row r="401" spans="1:2">
      <c r="A401" s="2">
        <v>-0.00786373646021458</v>
      </c>
      <c r="B401" s="3">
        <v>0.00148055658292722</v>
      </c>
    </row>
    <row r="402" spans="1:2">
      <c r="A402" s="2">
        <v>0.0117725362252672</v>
      </c>
      <c r="B402" s="3">
        <v>-0.00593542423090183</v>
      </c>
    </row>
    <row r="403" spans="1:2">
      <c r="A403" s="2">
        <v>0</v>
      </c>
      <c r="B403" s="3">
        <v>-0.0119760227688304</v>
      </c>
    </row>
    <row r="404" spans="1:2">
      <c r="A404" s="2">
        <v>-0.00914441381899766</v>
      </c>
      <c r="B404" s="3">
        <v>-0.00301694466914391</v>
      </c>
    </row>
    <row r="405" spans="1:2">
      <c r="A405" s="2">
        <v>0.00131147559781066</v>
      </c>
      <c r="B405" s="3">
        <v>0</v>
      </c>
    </row>
    <row r="406" spans="1:2">
      <c r="A406" s="2">
        <v>-0.0118656632765009</v>
      </c>
      <c r="B406" s="3">
        <v>-0.00302607417443871</v>
      </c>
    </row>
    <row r="407" spans="1:2">
      <c r="A407" s="2">
        <v>-0.00132714020806246</v>
      </c>
      <c r="B407" s="3">
        <v>-0.00760389979330459</v>
      </c>
    </row>
    <row r="408" spans="1:2">
      <c r="A408" s="2">
        <v>-0.00132890385005375</v>
      </c>
      <c r="B408" s="3">
        <v>-0.00305846234269007</v>
      </c>
    </row>
    <row r="409" spans="1:2">
      <c r="A409" s="2">
        <v>-0.00266311741948366</v>
      </c>
      <c r="B409" s="3">
        <v>-0.00153274616074191</v>
      </c>
    </row>
    <row r="410" spans="1:2">
      <c r="A410" s="2">
        <v>0.00796816964917688</v>
      </c>
      <c r="B410" s="3">
        <v>0.00459120850343202</v>
      </c>
    </row>
    <row r="411" spans="1:2">
      <c r="A411" s="2">
        <v>-0.00930239266231356</v>
      </c>
      <c r="B411" s="3">
        <v>0</v>
      </c>
    </row>
    <row r="412" spans="1:2">
      <c r="A412" s="2">
        <v>0.00797876573180532</v>
      </c>
      <c r="B412" s="3">
        <v>0.00760389979330465</v>
      </c>
    </row>
    <row r="413" spans="1:2">
      <c r="A413" s="2">
        <v>0.00660068403135209</v>
      </c>
      <c r="B413" s="3">
        <v>0</v>
      </c>
    </row>
    <row r="414" spans="1:2">
      <c r="A414" s="2">
        <v>0</v>
      </c>
      <c r="B414" s="3">
        <v>-0.0106623621359946</v>
      </c>
    </row>
    <row r="415" spans="1:2">
      <c r="A415" s="2">
        <v>0.00786373646021445</v>
      </c>
      <c r="B415" s="3">
        <v>0.00914746669505406</v>
      </c>
    </row>
    <row r="416" spans="1:2">
      <c r="A416" s="2">
        <v>0</v>
      </c>
      <c r="B416" s="3">
        <v>0.00151489544094071</v>
      </c>
    </row>
    <row r="417" spans="1:2">
      <c r="A417" s="2">
        <v>-0.00261438057407082</v>
      </c>
      <c r="B417" s="3">
        <v>0.00302607417443862</v>
      </c>
    </row>
    <row r="418" spans="1:2">
      <c r="A418" s="2">
        <v>0.00130804466001539</v>
      </c>
      <c r="B418" s="3">
        <v>0.0105181651047384</v>
      </c>
    </row>
    <row r="419" spans="1:2">
      <c r="A419" s="2">
        <v>0.00651468102119367</v>
      </c>
      <c r="B419" s="3">
        <v>0.00149382675559358</v>
      </c>
    </row>
    <row r="420" spans="1:2">
      <c r="A420" s="2">
        <v>-0.00913248356327247</v>
      </c>
      <c r="B420" s="3">
        <v>-0.00748998123897636</v>
      </c>
    </row>
    <row r="421" spans="1:2">
      <c r="A421" s="2">
        <v>0.0194684928939345</v>
      </c>
      <c r="B421" s="3">
        <v>0.0104709568166188</v>
      </c>
    </row>
    <row r="422" spans="1:2">
      <c r="A422" s="2">
        <v>0.00256739550524573</v>
      </c>
      <c r="B422" s="3">
        <v>0.00888843927411838</v>
      </c>
    </row>
    <row r="423" spans="1:2">
      <c r="A423" s="2">
        <v>0.00128123015604854</v>
      </c>
      <c r="B423" s="3">
        <v>-0.00888843927411848</v>
      </c>
    </row>
    <row r="424" spans="1:2">
      <c r="A424" s="2">
        <v>0.00638164258952061</v>
      </c>
      <c r="B424" s="3">
        <v>0.0191611841980281</v>
      </c>
    </row>
    <row r="425" spans="1:2">
      <c r="A425" s="2">
        <v>0.00254129742867255</v>
      </c>
      <c r="B425" s="3">
        <v>-0.0371802258104412</v>
      </c>
    </row>
    <row r="426" spans="1:2">
      <c r="A426" s="2">
        <v>-0.00254129742867253</v>
      </c>
      <c r="B426" s="3">
        <v>0.00151418172739634</v>
      </c>
    </row>
    <row r="427" spans="1:2">
      <c r="A427" s="2">
        <v>-0.0115164420615591</v>
      </c>
      <c r="B427" s="3">
        <v>-0.0106461434185138</v>
      </c>
    </row>
    <row r="428" spans="1:2">
      <c r="A428" s="2">
        <v>0.00385356931598997</v>
      </c>
      <c r="B428" s="3">
        <v>0.00457719856358589</v>
      </c>
    </row>
    <row r="429" spans="1:2">
      <c r="A429" s="2">
        <v>0.0114724011622368</v>
      </c>
      <c r="B429" s="3">
        <v>0.00909044738050296</v>
      </c>
    </row>
    <row r="430" spans="1:2">
      <c r="A430" s="2">
        <v>0.0125946249204005</v>
      </c>
      <c r="B430" s="3">
        <v>0.00751405460217609</v>
      </c>
    </row>
    <row r="431" spans="1:2">
      <c r="A431" s="2">
        <v>-0.00376175992189168</v>
      </c>
      <c r="B431" s="3">
        <v>-0.0105355571277512</v>
      </c>
    </row>
    <row r="432" spans="1:2">
      <c r="A432" s="2">
        <v>0</v>
      </c>
      <c r="B432" s="3">
        <v>-0.00151418172739629</v>
      </c>
    </row>
    <row r="433" spans="1:2">
      <c r="A433" s="2">
        <v>0.01866886827103</v>
      </c>
      <c r="B433" s="3">
        <v>0.0150380660347707</v>
      </c>
    </row>
    <row r="434" spans="1:2">
      <c r="A434" s="2">
        <v>-0.00494438584546408</v>
      </c>
      <c r="B434" s="3">
        <v>-0.0180717402200075</v>
      </c>
    </row>
    <row r="435" spans="1:2">
      <c r="A435" s="2">
        <v>-0.00372439909098244</v>
      </c>
      <c r="B435" s="3">
        <v>0.00605974835967551</v>
      </c>
    </row>
    <row r="436" spans="1:2">
      <c r="A436" s="2">
        <v>0.00619964787952543</v>
      </c>
      <c r="B436" s="3">
        <v>0.00301694466914395</v>
      </c>
    </row>
    <row r="437" spans="1:2">
      <c r="A437" s="2">
        <v>0.00984017780151114</v>
      </c>
      <c r="B437" s="3">
        <v>0.00899504719118795</v>
      </c>
    </row>
    <row r="438" spans="1:2">
      <c r="A438" s="2">
        <v>-0.0147968174414395</v>
      </c>
      <c r="B438" s="3">
        <v>0.0029809755776425</v>
      </c>
    </row>
    <row r="439" spans="1:2">
      <c r="A439" s="2">
        <v>0</v>
      </c>
      <c r="B439" s="3">
        <v>-0.00298097557764248</v>
      </c>
    </row>
    <row r="440" spans="1:2">
      <c r="A440" s="2">
        <v>-0.00248756347180175</v>
      </c>
      <c r="B440" s="3">
        <v>-0.00748998123897636</v>
      </c>
    </row>
    <row r="441" spans="1:2">
      <c r="A441" s="2">
        <v>-0.00124610608024718</v>
      </c>
      <c r="B441" s="3">
        <v>-0.0105817589810311</v>
      </c>
    </row>
    <row r="442" spans="1:2">
      <c r="A442" s="2">
        <v>0.00621506040343419</v>
      </c>
      <c r="B442" s="3">
        <v>0.0105817589810311</v>
      </c>
    </row>
    <row r="443" spans="1:2">
      <c r="A443" s="2">
        <v>0.0147604155831207</v>
      </c>
      <c r="B443" s="3">
        <v>0.00150280413245276</v>
      </c>
    </row>
    <row r="444" spans="1:2">
      <c r="A444" s="2">
        <v>-0.00122174725032236</v>
      </c>
      <c r="B444" s="3">
        <v>0.0193306037421318</v>
      </c>
    </row>
    <row r="445" spans="1:2">
      <c r="A445" s="2">
        <v>0.00366077284968116</v>
      </c>
      <c r="B445" s="3">
        <v>0.00147184227060422</v>
      </c>
    </row>
    <row r="446" spans="1:2">
      <c r="A446" s="2">
        <v>0.00243309122464165</v>
      </c>
      <c r="B446" s="3">
        <v>-0.0328870091262198</v>
      </c>
    </row>
    <row r="447" spans="1:2">
      <c r="A447" s="2">
        <v>-0.00121580562088988</v>
      </c>
      <c r="B447" s="3">
        <v>-0.00304449512133056</v>
      </c>
    </row>
    <row r="448" spans="1:2">
      <c r="A448" s="2">
        <v>0.00121580562088995</v>
      </c>
      <c r="B448" s="3">
        <v>-0.00305379238455001</v>
      </c>
    </row>
    <row r="449" spans="1:2">
      <c r="A449" s="2">
        <v>-0.00854184571296279</v>
      </c>
      <c r="B449" s="3">
        <v>-0.00613410049338949</v>
      </c>
    </row>
    <row r="450" spans="1:2">
      <c r="A450" s="2">
        <v>-0.0024539889615667</v>
      </c>
      <c r="B450" s="3">
        <v>-0.00462660402235372</v>
      </c>
    </row>
    <row r="451" spans="1:2">
      <c r="A451" s="2">
        <v>-0.00246002584086231</v>
      </c>
      <c r="B451" s="3">
        <v>-0.0108777579971191</v>
      </c>
    </row>
    <row r="452" spans="1:2">
      <c r="A452" s="2">
        <v>-0.00990107098271157</v>
      </c>
      <c r="B452" s="3">
        <v>-0.00784408843608451</v>
      </c>
    </row>
    <row r="453" spans="1:2">
      <c r="A453" s="2">
        <v>0.0306208859563287</v>
      </c>
      <c r="B453" s="3">
        <v>0.00784408843608449</v>
      </c>
    </row>
    <row r="454" spans="1:2">
      <c r="A454" s="2">
        <v>0.00120554565534869</v>
      </c>
      <c r="B454" s="3">
        <v>0.00311886333864084</v>
      </c>
    </row>
    <row r="455" spans="1:2">
      <c r="A455" s="2">
        <v>0.00720291229405802</v>
      </c>
      <c r="B455" s="3">
        <v>0</v>
      </c>
    </row>
    <row r="456" spans="1:2">
      <c r="A456" s="2">
        <v>0.0213025807038682</v>
      </c>
      <c r="B456" s="3">
        <v>-0.00311886333864087</v>
      </c>
    </row>
    <row r="457" spans="1:2">
      <c r="A457" s="2">
        <v>-0.0070505579966668</v>
      </c>
      <c r="B457" s="3">
        <v>0.0139645378396022</v>
      </c>
    </row>
    <row r="458" spans="1:2">
      <c r="A458" s="2">
        <v>0.0483408269342825</v>
      </c>
      <c r="B458" s="3">
        <v>0.0273573243932641</v>
      </c>
    </row>
    <row r="459" spans="1:2">
      <c r="A459" s="2">
        <v>-0.00789626212222551</v>
      </c>
      <c r="B459" s="3">
        <v>-0.00150054910063949</v>
      </c>
    </row>
    <row r="460" spans="1:2">
      <c r="A460" s="2">
        <v>0.00113186203368333</v>
      </c>
      <c r="B460" s="3">
        <v>0.00299884992690062</v>
      </c>
    </row>
    <row r="461" spans="1:2">
      <c r="A461" s="2">
        <v>-0.0228842938335878</v>
      </c>
      <c r="B461" s="3">
        <v>0.00298832717962308</v>
      </c>
    </row>
    <row r="462" spans="1:2">
      <c r="A462" s="2">
        <v>-0.00464037955650223</v>
      </c>
      <c r="B462" s="3">
        <v>0</v>
      </c>
    </row>
    <row r="463" spans="1:2">
      <c r="A463" s="2">
        <v>-0.00116346726329807</v>
      </c>
      <c r="B463" s="3">
        <v>0.0133434266356082</v>
      </c>
    </row>
    <row r="464" spans="1:2">
      <c r="A464" s="2">
        <v>0.00116346726329805</v>
      </c>
      <c r="B464" s="3">
        <v>0.0044090437519239</v>
      </c>
    </row>
    <row r="465" spans="1:2">
      <c r="A465" s="2">
        <v>0.00232288141613973</v>
      </c>
      <c r="B465" s="3">
        <v>-0.0222390983934162</v>
      </c>
    </row>
    <row r="466" spans="1:2">
      <c r="A466" s="2">
        <v>0.00115942041973494</v>
      </c>
      <c r="B466" s="3">
        <v>0.00895476565042986</v>
      </c>
    </row>
    <row r="467" spans="1:2">
      <c r="A467" s="2">
        <v>-0.00581059159546563</v>
      </c>
      <c r="B467" s="3">
        <v>-0.00446813764454571</v>
      </c>
    </row>
    <row r="468" spans="1:2">
      <c r="A468" s="2">
        <v>-0.00116618089018251</v>
      </c>
      <c r="B468" s="3">
        <v>0.00891639980854424</v>
      </c>
    </row>
    <row r="469" spans="1:2">
      <c r="A469" s="2">
        <v>0.0104469899646554</v>
      </c>
      <c r="B469" s="3">
        <v>0.00147836777538619</v>
      </c>
    </row>
    <row r="470" spans="1:2">
      <c r="A470" s="2">
        <v>-0.018648559078073</v>
      </c>
      <c r="B470" s="3">
        <v>0</v>
      </c>
    </row>
    <row r="471" spans="1:2">
      <c r="A471" s="2">
        <v>0.00586511945239806</v>
      </c>
      <c r="B471" s="3">
        <v>0</v>
      </c>
    </row>
    <row r="472" spans="1:2">
      <c r="A472" s="2">
        <v>-0.00468934036338606</v>
      </c>
      <c r="B472" s="3">
        <v>-0.00592662993938476</v>
      </c>
    </row>
    <row r="473" spans="1:2">
      <c r="A473" s="2">
        <v>0.00585824756836807</v>
      </c>
      <c r="B473" s="3">
        <v>0.00740127720721531</v>
      </c>
    </row>
    <row r="474" spans="1:2">
      <c r="A474" s="2">
        <v>0.0023337233462201</v>
      </c>
      <c r="B474" s="3">
        <v>0.00881165512387686</v>
      </c>
    </row>
    <row r="475" spans="1:2">
      <c r="A475" s="2">
        <v>-0.00936775000360016</v>
      </c>
      <c r="B475" s="3">
        <v>-0.00586580106942542</v>
      </c>
    </row>
    <row r="476" spans="1:2">
      <c r="A476" s="2">
        <v>0.00936775000360024</v>
      </c>
      <c r="B476" s="3">
        <v>-0.00294585405445141</v>
      </c>
    </row>
    <row r="477" spans="1:2">
      <c r="A477" s="2">
        <v>-0.0188240852456356</v>
      </c>
      <c r="B477" s="3">
        <v>0.00147401178384732</v>
      </c>
    </row>
    <row r="478" spans="1:2">
      <c r="A478" s="2">
        <v>0.00710062154957637</v>
      </c>
      <c r="B478" s="3">
        <v>0.0131677215366951</v>
      </c>
    </row>
    <row r="479" spans="1:2">
      <c r="A479" s="2">
        <v>0.0117234636960592</v>
      </c>
      <c r="B479" s="3">
        <v>0.0115606655935395</v>
      </c>
    </row>
    <row r="480" spans="1:2">
      <c r="A480" s="2">
        <v>0.00116482249629311</v>
      </c>
      <c r="B480" s="3">
        <v>0.00424637976858876</v>
      </c>
    </row>
    <row r="481" spans="1:2">
      <c r="A481" s="2">
        <v>-0.00583772819568553</v>
      </c>
      <c r="B481" s="3">
        <v>-0.011363494347179</v>
      </c>
    </row>
    <row r="482" spans="1:2">
      <c r="A482" s="2">
        <v>-0.00351906521519573</v>
      </c>
      <c r="B482" s="3">
        <v>0.00427664477935216</v>
      </c>
    </row>
    <row r="483" spans="1:2">
      <c r="A483" s="2">
        <v>0</v>
      </c>
      <c r="B483" s="3">
        <v>-0.00427664477935225</v>
      </c>
    </row>
    <row r="484" spans="1:2">
      <c r="A484" s="2">
        <v>0.0151606402306814</v>
      </c>
      <c r="B484" s="3">
        <v>0.0281709608047734</v>
      </c>
    </row>
    <row r="485" spans="1:2">
      <c r="A485" s="2">
        <v>-0.00231749814036248</v>
      </c>
      <c r="B485" s="3">
        <v>-0.00278120975966908</v>
      </c>
    </row>
    <row r="486" spans="1:2">
      <c r="A486" s="2">
        <v>0.0126802851759092</v>
      </c>
      <c r="B486" s="3">
        <v>0.0165752956221086</v>
      </c>
    </row>
    <row r="487" spans="1:2">
      <c r="A487" s="2">
        <v>0.00684934184557477</v>
      </c>
      <c r="B487" s="3">
        <v>-0.0137940858624395</v>
      </c>
    </row>
    <row r="488" spans="1:2">
      <c r="A488" s="2">
        <v>0</v>
      </c>
      <c r="B488" s="3">
        <v>-0.00696832047941497</v>
      </c>
    </row>
    <row r="489" spans="1:2">
      <c r="A489" s="2">
        <v>-0.0125931830248269</v>
      </c>
      <c r="B489" s="3">
        <v>0.00696832047941502</v>
      </c>
    </row>
    <row r="490" spans="1:2">
      <c r="A490" s="2">
        <v>0.0227800283318199</v>
      </c>
      <c r="B490" s="3">
        <v>0.0027734960803433</v>
      </c>
    </row>
    <row r="491" spans="1:2">
      <c r="A491" s="2">
        <v>-0.00451468035452658</v>
      </c>
      <c r="B491" s="3">
        <v>-0.0027734960803434</v>
      </c>
    </row>
    <row r="492" spans="1:2">
      <c r="A492" s="2">
        <v>-0.0194180858571016</v>
      </c>
      <c r="B492" s="3">
        <v>-0.0139855393883148</v>
      </c>
    </row>
    <row r="493" spans="1:2">
      <c r="A493" s="2">
        <v>-0.00115406821810675</v>
      </c>
      <c r="B493" s="3">
        <v>0</v>
      </c>
    </row>
    <row r="494" spans="1:2">
      <c r="A494" s="2">
        <v>0.0340555044124954</v>
      </c>
      <c r="B494" s="3">
        <v>0.00841536316320981</v>
      </c>
    </row>
    <row r="495" spans="1:2">
      <c r="A495" s="2">
        <v>0.00445435034938037</v>
      </c>
      <c r="B495" s="3">
        <v>-0.00419882931557968</v>
      </c>
    </row>
    <row r="496" spans="1:2">
      <c r="A496" s="2">
        <v>0.0252344711785414</v>
      </c>
      <c r="B496" s="3">
        <v>0.00280068506126973</v>
      </c>
    </row>
    <row r="497" spans="1:2">
      <c r="A497" s="2">
        <v>-0.0130863372428938</v>
      </c>
      <c r="B497" s="3">
        <v>0.00557941709323134</v>
      </c>
    </row>
    <row r="498" spans="1:2">
      <c r="A498" s="2">
        <v>-0.0646117034713884</v>
      </c>
      <c r="B498" s="3">
        <v>-0.0267820574185897</v>
      </c>
    </row>
    <row r="499" spans="1:2">
      <c r="A499" s="2">
        <v>-0.0177204873213637</v>
      </c>
      <c r="B499" s="3">
        <v>-0.0348864285573135</v>
      </c>
    </row>
    <row r="500" spans="1:2">
      <c r="A500" s="2">
        <v>-0.00358209338250455</v>
      </c>
      <c r="B500" s="3">
        <v>0</v>
      </c>
    </row>
    <row r="501" spans="1:2">
      <c r="A501" s="2">
        <v>-0.0193242728264028</v>
      </c>
      <c r="B501" s="3">
        <v>0</v>
      </c>
    </row>
    <row r="502" spans="1:2">
      <c r="A502" s="2">
        <v>0.00607904607638219</v>
      </c>
      <c r="B502" s="3">
        <v>0.00589880291432496</v>
      </c>
    </row>
    <row r="503" spans="1:2">
      <c r="A503" s="2">
        <v>-0.00121285642520929</v>
      </c>
      <c r="B503" s="3">
        <v>-0.0088628716460467</v>
      </c>
    </row>
    <row r="504" spans="1:2">
      <c r="A504" s="2">
        <v>0</v>
      </c>
      <c r="B504" s="3">
        <v>0.00148313257838963</v>
      </c>
    </row>
    <row r="505" spans="1:2">
      <c r="A505" s="2">
        <v>0.00725517088117202</v>
      </c>
      <c r="B505" s="3">
        <v>-0.00743460476172148</v>
      </c>
    </row>
    <row r="506" spans="1:2">
      <c r="A506" s="2">
        <v>0.0119761910467156</v>
      </c>
      <c r="B506" s="3">
        <v>-0.00149420844629023</v>
      </c>
    </row>
    <row r="507" spans="1:2">
      <c r="A507" s="2">
        <v>-0.00477327875265766</v>
      </c>
      <c r="B507" s="3">
        <v>0.0014942084462902</v>
      </c>
    </row>
    <row r="508" spans="1:2">
      <c r="A508" s="2">
        <v>0.00477327875265759</v>
      </c>
      <c r="B508" s="3">
        <v>0</v>
      </c>
    </row>
    <row r="509" spans="1:2">
      <c r="A509" s="2">
        <v>0.00237812240496742</v>
      </c>
      <c r="B509" s="3">
        <v>-0.00149420844629023</v>
      </c>
    </row>
    <row r="510" spans="1:2">
      <c r="A510" s="2">
        <v>0.00945633524203544</v>
      </c>
      <c r="B510" s="3">
        <v>0.00596191472963608</v>
      </c>
    </row>
    <row r="511" spans="1:2">
      <c r="A511" s="2">
        <v>-0.00353565483230776</v>
      </c>
      <c r="B511" s="3">
        <v>0.00592502050260006</v>
      </c>
    </row>
    <row r="512" spans="1:2">
      <c r="A512" s="2">
        <v>0.0152316945954991</v>
      </c>
      <c r="B512" s="3">
        <v>0.00882376942330212</v>
      </c>
    </row>
    <row r="513" spans="1:2">
      <c r="A513" s="2">
        <v>0.0011621151801773</v>
      </c>
      <c r="B513" s="3">
        <v>-0.00440215237986943</v>
      </c>
    </row>
    <row r="514" spans="1:2">
      <c r="A514" s="2">
        <v>0.00347826437632479</v>
      </c>
      <c r="B514" s="3">
        <v>-0.0088628716460467</v>
      </c>
    </row>
    <row r="515" spans="1:2">
      <c r="A515" s="2">
        <v>-0.0305546683219725</v>
      </c>
      <c r="B515" s="3">
        <v>-0.00446106737132149</v>
      </c>
    </row>
    <row r="516" spans="1:2">
      <c r="A516" s="2">
        <v>0.0177414470095961</v>
      </c>
      <c r="B516" s="3">
        <v>0.00446106737132142</v>
      </c>
    </row>
    <row r="517" spans="1:2">
      <c r="A517" s="2">
        <v>-0.0249271066704706</v>
      </c>
      <c r="B517" s="3">
        <v>-0.00595147218333191</v>
      </c>
    </row>
    <row r="518" spans="1:2">
      <c r="A518" s="2">
        <v>-0.0072376673002305</v>
      </c>
      <c r="B518" s="3">
        <v>0.00298016358777532</v>
      </c>
    </row>
    <row r="519" spans="1:2">
      <c r="A519" s="2">
        <v>0.0168071183163812</v>
      </c>
      <c r="B519" s="3">
        <v>0.010363516296797</v>
      </c>
    </row>
    <row r="520" spans="1:2">
      <c r="A520" s="2">
        <v>0.0165293019512105</v>
      </c>
      <c r="B520" s="3">
        <v>-0.00590907512285071</v>
      </c>
    </row>
    <row r="521" spans="1:2">
      <c r="A521" s="2">
        <v>0.00700119545898356</v>
      </c>
      <c r="B521" s="3">
        <v>0.00884979452544097</v>
      </c>
    </row>
    <row r="522" spans="1:2">
      <c r="A522" s="2">
        <v>0.00810658753298849</v>
      </c>
      <c r="B522" s="3">
        <v>0.0014678975665666</v>
      </c>
    </row>
    <row r="523" spans="1:2">
      <c r="A523" s="2">
        <v>-0.00578370611684881</v>
      </c>
      <c r="B523" s="3">
        <v>0.00875781578465537</v>
      </c>
    </row>
    <row r="524" spans="1:2">
      <c r="A524" s="2">
        <v>0.00808785460169891</v>
      </c>
      <c r="B524" s="3">
        <v>0.00290384111814174</v>
      </c>
    </row>
    <row r="525" spans="1:2">
      <c r="A525" s="2">
        <v>-0.00115141060504181</v>
      </c>
      <c r="B525" s="3">
        <v>0</v>
      </c>
    </row>
    <row r="526" spans="1:2">
      <c r="A526" s="2">
        <v>-0.00925932541279671</v>
      </c>
      <c r="B526" s="3">
        <v>-0.0101974575472781</v>
      </c>
    </row>
    <row r="527" spans="1:2">
      <c r="A527" s="2">
        <v>0.0046403795565023</v>
      </c>
      <c r="B527" s="3">
        <v>-0.0103009552941943</v>
      </c>
    </row>
    <row r="528" spans="1:2">
      <c r="A528" s="2">
        <v>0.0115076068514799</v>
      </c>
      <c r="B528" s="3">
        <v>0.0132260222825427</v>
      </c>
    </row>
    <row r="529" spans="1:2">
      <c r="A529" s="2">
        <v>-0.0420622751734524</v>
      </c>
      <c r="B529" s="3">
        <v>-0.0147069584358749</v>
      </c>
    </row>
    <row r="530" spans="1:2">
      <c r="A530" s="2">
        <v>0</v>
      </c>
      <c r="B530" s="3">
        <v>0</v>
      </c>
    </row>
    <row r="531" spans="1:2">
      <c r="A531" s="2">
        <v>-0.0168475705726114</v>
      </c>
      <c r="B531" s="3">
        <v>-0.00147216153958101</v>
      </c>
    </row>
    <row r="532" spans="1:2">
      <c r="A532" s="2">
        <v>-0.0220867874028434</v>
      </c>
      <c r="B532" s="3">
        <v>-0.00442795877711725</v>
      </c>
    </row>
    <row r="533" spans="1:2">
      <c r="A533" s="2">
        <v>-0.00248447332766194</v>
      </c>
      <c r="B533" s="3">
        <v>0.00295519637611283</v>
      </c>
    </row>
    <row r="534" spans="1:2">
      <c r="A534" s="2">
        <v>-0.0062383234126917</v>
      </c>
      <c r="B534" s="3">
        <v>0.00441492140604435</v>
      </c>
    </row>
    <row r="535" spans="1:2">
      <c r="A535" s="2">
        <v>-0.0113280003052075</v>
      </c>
      <c r="B535" s="3">
        <v>-0.0162852934714213</v>
      </c>
    </row>
    <row r="536" spans="1:2">
      <c r="A536" s="2">
        <v>0.0100756519887416</v>
      </c>
      <c r="B536" s="3">
        <v>0</v>
      </c>
    </row>
    <row r="537" spans="1:2">
      <c r="A537" s="2">
        <v>0</v>
      </c>
      <c r="B537" s="3">
        <v>0.0162852934714213</v>
      </c>
    </row>
    <row r="538" spans="1:2">
      <c r="A538" s="2">
        <v>0.00997514505681952</v>
      </c>
      <c r="B538" s="3">
        <v>0.00439551551910626</v>
      </c>
    </row>
    <row r="539" spans="1:2">
      <c r="A539" s="2">
        <v>0.0111043707342344</v>
      </c>
      <c r="B539" s="3">
        <v>-0.00292923616212115</v>
      </c>
    </row>
    <row r="540" spans="1:2">
      <c r="A540" s="2">
        <v>0.00733499621156547</v>
      </c>
      <c r="B540" s="3">
        <v>0.0174434763267009</v>
      </c>
    </row>
    <row r="541" spans="1:2">
      <c r="A541" s="2">
        <v>-0.00121876919412945</v>
      </c>
      <c r="B541" s="3">
        <v>0.00860818614670048</v>
      </c>
    </row>
    <row r="542" spans="1:2">
      <c r="A542" s="2">
        <v>-0.0334811186234508</v>
      </c>
      <c r="B542" s="3">
        <v>-0.0143889357472702</v>
      </c>
    </row>
    <row r="543" spans="1:2">
      <c r="A543" s="2">
        <v>0.00126023961228777</v>
      </c>
      <c r="B543" s="3">
        <v>-0.00873349056401011</v>
      </c>
    </row>
    <row r="544" spans="1:2">
      <c r="A544" s="2">
        <v>0.018715455811356</v>
      </c>
      <c r="B544" s="3">
        <v>0.00145985313905551</v>
      </c>
    </row>
    <row r="545" spans="1:2">
      <c r="A545" s="2">
        <v>0.00123533060799281</v>
      </c>
      <c r="B545" s="3">
        <v>-0.00585536865816183</v>
      </c>
    </row>
    <row r="546" spans="1:2">
      <c r="A546" s="2">
        <v>0.0195605258544936</v>
      </c>
      <c r="B546" s="3">
        <v>0.0102252780063155</v>
      </c>
    </row>
    <row r="547" spans="1:2">
      <c r="A547" s="2">
        <v>-0.009732436918231</v>
      </c>
      <c r="B547" s="3">
        <v>-0.0058297624872092</v>
      </c>
    </row>
    <row r="548" spans="1:2">
      <c r="A548" s="2">
        <v>0.00973243691823105</v>
      </c>
      <c r="B548" s="3">
        <v>-0.0147280098446253</v>
      </c>
    </row>
    <row r="549" spans="1:2">
      <c r="A549" s="2">
        <v>-0.00242424361150639</v>
      </c>
      <c r="B549" s="3">
        <v>0.0147280098446254</v>
      </c>
    </row>
    <row r="550" spans="1:2">
      <c r="A550" s="2">
        <v>-0.010982416668609</v>
      </c>
      <c r="B550" s="3">
        <v>0.00145985313905551</v>
      </c>
    </row>
    <row r="551" spans="1:2">
      <c r="A551" s="2">
        <v>-0.0235889273964797</v>
      </c>
      <c r="B551" s="3">
        <v>-0.00585536865816183</v>
      </c>
    </row>
    <row r="552" spans="1:2">
      <c r="A552" s="2">
        <v>-0.017744445299072</v>
      </c>
      <c r="B552" s="3">
        <v>0.00293196999072407</v>
      </c>
    </row>
    <row r="553" spans="1:2">
      <c r="A553" s="2">
        <v>-0.0025608208616737</v>
      </c>
      <c r="B553" s="3">
        <v>0.00583982501226588</v>
      </c>
    </row>
    <row r="554" spans="1:2">
      <c r="A554" s="2">
        <v>0</v>
      </c>
      <c r="B554" s="3">
        <v>0.0101379606806961</v>
      </c>
    </row>
    <row r="555" spans="1:2">
      <c r="A555" s="2">
        <v>0.00256082086167365</v>
      </c>
      <c r="B555" s="3">
        <v>0.00143883263344813</v>
      </c>
    </row>
    <row r="556" spans="1:2">
      <c r="A556" s="2">
        <v>-0.00384369467456283</v>
      </c>
      <c r="B556" s="3">
        <v>-0.00288127410790431</v>
      </c>
    </row>
    <row r="557" spans="1:2">
      <c r="A557" s="2">
        <v>0</v>
      </c>
      <c r="B557" s="3">
        <v>0.0100506276211566</v>
      </c>
    </row>
    <row r="558" spans="1:2">
      <c r="A558" s="2">
        <v>0.0549451548063216</v>
      </c>
      <c r="B558" s="3">
        <v>0.00427646377820689</v>
      </c>
    </row>
    <row r="559" spans="1:2">
      <c r="A559" s="2">
        <v>0.00726395445822506</v>
      </c>
      <c r="B559" s="3">
        <v>0.00567415306495623</v>
      </c>
    </row>
    <row r="560" spans="1:2">
      <c r="A560" s="2">
        <v>-0.0109158148769961</v>
      </c>
      <c r="B560" s="3">
        <v>-0.0257903626746109</v>
      </c>
    </row>
    <row r="561" spans="1:2">
      <c r="A561" s="2">
        <v>0.00850035476539253</v>
      </c>
      <c r="B561" s="3">
        <v>-0.00290640099594878</v>
      </c>
    </row>
    <row r="562" spans="1:2">
      <c r="A562" s="2">
        <v>0.0227146645825319</v>
      </c>
      <c r="B562" s="3">
        <v>0.0130150876840605</v>
      </c>
    </row>
    <row r="563" spans="1:2">
      <c r="A563" s="2">
        <v>0.014084739881739</v>
      </c>
      <c r="B563" s="3">
        <v>0.0156816759864991</v>
      </c>
    </row>
    <row r="564" spans="1:2">
      <c r="A564" s="2">
        <v>-0.0452997592296635</v>
      </c>
      <c r="B564" s="3">
        <v>0.00985108637126586</v>
      </c>
    </row>
    <row r="565" spans="1:2">
      <c r="A565" s="2">
        <v>-0.0246926125903715</v>
      </c>
      <c r="B565" s="3">
        <v>-0.00843869181222137</v>
      </c>
    </row>
    <row r="566" spans="1:2">
      <c r="A566" s="2">
        <v>0.0246926125903714</v>
      </c>
      <c r="B566" s="3">
        <v>0.00282181629910228</v>
      </c>
    </row>
    <row r="567" spans="1:2">
      <c r="A567" s="2">
        <v>-0.0122700925918144</v>
      </c>
      <c r="B567" s="3">
        <v>-0.0141848277013097</v>
      </c>
    </row>
    <row r="568" spans="1:2">
      <c r="A568" s="2">
        <v>-0.0136733019002098</v>
      </c>
      <c r="B568" s="3">
        <v>0.0127749148823317</v>
      </c>
    </row>
    <row r="569" spans="1:2">
      <c r="A569" s="2">
        <v>-0.0382699762606307</v>
      </c>
      <c r="B569" s="3">
        <v>-0.00707802532759463</v>
      </c>
    </row>
    <row r="570" spans="1:2">
      <c r="A570" s="2">
        <v>0.0142029501779935</v>
      </c>
      <c r="B570" s="3">
        <v>-0.0346848288505824</v>
      </c>
    </row>
    <row r="571" spans="1:2">
      <c r="A571" s="2">
        <v>0.00511510066677041</v>
      </c>
      <c r="B571" s="3">
        <v>-0.00590012031669827</v>
      </c>
    </row>
    <row r="572" spans="1:2">
      <c r="A572" s="2">
        <v>0</v>
      </c>
      <c r="B572" s="3">
        <v>0.00590012031669821</v>
      </c>
    </row>
    <row r="573" spans="1:2">
      <c r="A573" s="2">
        <v>0.0642195927342938</v>
      </c>
      <c r="B573" s="3">
        <v>-0.0148152960059625</v>
      </c>
    </row>
    <row r="574" spans="1:2">
      <c r="A574" s="2">
        <v>0.0715414552174981</v>
      </c>
      <c r="B574" s="3">
        <v>0.0294142995545378</v>
      </c>
    </row>
    <row r="575" spans="1:2">
      <c r="A575" s="2">
        <v>-0.00670393572219022</v>
      </c>
      <c r="B575" s="3">
        <v>0.0186653995254771</v>
      </c>
    </row>
    <row r="576" spans="1:2">
      <c r="A576" s="2">
        <v>-0.00224466985382386</v>
      </c>
      <c r="B576" s="3">
        <v>-0.00142396218749945</v>
      </c>
    </row>
    <row r="577" spans="1:2">
      <c r="A577" s="2">
        <v>0</v>
      </c>
      <c r="B577" s="3">
        <v>0.0294766735965428</v>
      </c>
    </row>
    <row r="578" spans="1:2">
      <c r="A578" s="2">
        <v>-0.0459851132418234</v>
      </c>
      <c r="B578" s="3">
        <v>-0.0125274719728213</v>
      </c>
    </row>
    <row r="579" spans="1:2">
      <c r="A579" s="2">
        <v>0.018648559078073</v>
      </c>
      <c r="B579" s="3">
        <v>0.034416172754004</v>
      </c>
    </row>
    <row r="580" spans="1:2">
      <c r="A580" s="2">
        <v>0.0273365541637504</v>
      </c>
      <c r="B580" s="3">
        <v>0.0121047913518825</v>
      </c>
    </row>
    <row r="581" spans="1:2">
      <c r="A581" s="2">
        <v>0.0233214345337728</v>
      </c>
      <c r="B581" s="3">
        <v>0.00533228651302361</v>
      </c>
    </row>
    <row r="582" spans="1:2">
      <c r="A582" s="2">
        <v>0.0292070517462663</v>
      </c>
      <c r="B582" s="3">
        <v>0.00794830133923238</v>
      </c>
    </row>
    <row r="583" spans="1:2">
      <c r="A583" s="2">
        <v>0.0137641135391656</v>
      </c>
      <c r="B583" s="3">
        <v>-0.00396554899598833</v>
      </c>
    </row>
    <row r="584" spans="1:2">
      <c r="A584" s="2">
        <v>-0.00315956029036848</v>
      </c>
      <c r="B584" s="3">
        <v>-0.0146773414986496</v>
      </c>
    </row>
    <row r="585" spans="1:2">
      <c r="A585" s="2">
        <v>0.0125787822068602</v>
      </c>
      <c r="B585" s="3">
        <v>0</v>
      </c>
    </row>
    <row r="586" spans="1:2">
      <c r="A586" s="2">
        <v>-0.0210534091978324</v>
      </c>
      <c r="B586" s="3">
        <v>-0.00945342017541647</v>
      </c>
    </row>
    <row r="587" spans="1:2">
      <c r="A587" s="2">
        <v>-0.0204198390087427</v>
      </c>
      <c r="B587" s="3">
        <v>0.00676216441086822</v>
      </c>
    </row>
    <row r="588" spans="1:2">
      <c r="A588" s="2">
        <v>-0.0331156087844975</v>
      </c>
      <c r="B588" s="3">
        <v>-0.0204237756969302</v>
      </c>
    </row>
    <row r="589" spans="1:2">
      <c r="A589" s="2">
        <v>0.00112170510920017</v>
      </c>
      <c r="B589" s="3">
        <v>0.0231150314614785</v>
      </c>
    </row>
    <row r="590" spans="1:2">
      <c r="A590" s="2">
        <v>-0.0124085066438298</v>
      </c>
      <c r="B590" s="3">
        <v>-0.00539121202250151</v>
      </c>
    </row>
    <row r="591" spans="1:2">
      <c r="A591" s="2">
        <v>0.0378664393393419</v>
      </c>
      <c r="B591" s="3">
        <v>0.0213912128081024</v>
      </c>
    </row>
    <row r="592" spans="1:2">
      <c r="A592" s="2">
        <v>-0.0054794657646256</v>
      </c>
      <c r="B592" s="3">
        <v>-0.0186912565501492</v>
      </c>
    </row>
    <row r="593" spans="1:2">
      <c r="A593" s="2">
        <v>-0.0222231367847102</v>
      </c>
      <c r="B593" s="3">
        <v>0.00805355840693033</v>
      </c>
    </row>
    <row r="594" spans="1:2">
      <c r="A594" s="2">
        <v>0.013393057336438</v>
      </c>
      <c r="B594" s="3">
        <v>0.0237786791461325</v>
      </c>
    </row>
    <row r="595" spans="1:2">
      <c r="A595" s="2">
        <v>-0.00221975673831289</v>
      </c>
      <c r="B595" s="3">
        <v>-0.00654820578285641</v>
      </c>
    </row>
    <row r="596" spans="1:2">
      <c r="A596" s="2">
        <v>0.0434851119397389</v>
      </c>
      <c r="B596" s="3">
        <v>0.0195187388363298</v>
      </c>
    </row>
    <row r="597" spans="1:2">
      <c r="A597" s="2">
        <v>0.0210534091978323</v>
      </c>
      <c r="B597" s="3">
        <v>-0.00128992082129319</v>
      </c>
    </row>
    <row r="598" spans="1:2">
      <c r="A598" s="2">
        <v>0.0448140157897926</v>
      </c>
      <c r="B598" s="3">
        <v>0.00643166492270182</v>
      </c>
    </row>
    <row r="599" spans="1:2">
      <c r="A599" s="2">
        <v>0.00991088389945396</v>
      </c>
      <c r="B599" s="3">
        <v>0.0038386926695604</v>
      </c>
    </row>
    <row r="600" spans="1:2">
      <c r="A600" s="2">
        <v>-0.0269881447176469</v>
      </c>
      <c r="B600" s="3">
        <v>0.00763345948792252</v>
      </c>
    </row>
    <row r="601" spans="1:2">
      <c r="A601" s="2">
        <v>-0.00813839690297116</v>
      </c>
      <c r="B601" s="3">
        <v>0</v>
      </c>
    </row>
    <row r="602" spans="1:2">
      <c r="A602" s="2">
        <v>0.0311739673047948</v>
      </c>
      <c r="B602" s="3">
        <v>0.00757563093739016</v>
      </c>
    </row>
    <row r="603" spans="1:2">
      <c r="A603" s="2">
        <v>-0.0301530381706876</v>
      </c>
      <c r="B603" s="3">
        <v>-0.0012590731939054</v>
      </c>
    </row>
    <row r="604" spans="1:2">
      <c r="A604" s="2">
        <v>0.0613446506486947</v>
      </c>
      <c r="B604" s="3">
        <v>-0.00378541384192766</v>
      </c>
    </row>
    <row r="605" spans="1:2">
      <c r="A605" s="2">
        <v>0.0265167051426397</v>
      </c>
      <c r="B605" s="3">
        <v>0.015056431199155</v>
      </c>
    </row>
    <row r="606" spans="1:2">
      <c r="A606" s="2">
        <v>-0.0188684843043828</v>
      </c>
      <c r="B606" s="3">
        <v>-0.0100119441633218</v>
      </c>
    </row>
    <row r="607" spans="1:2">
      <c r="A607" s="2">
        <v>0.0281708769666962</v>
      </c>
      <c r="B607" s="3">
        <v>0.00626903574360375</v>
      </c>
    </row>
    <row r="608" spans="1:2">
      <c r="A608" s="2">
        <v>0.0201656695945944</v>
      </c>
      <c r="B608" s="3">
        <v>-0.00626903574360367</v>
      </c>
    </row>
    <row r="609" spans="1:2">
      <c r="A609" s="2">
        <v>0.0144146640021847</v>
      </c>
      <c r="B609" s="3">
        <v>0.00626903574360375</v>
      </c>
    </row>
    <row r="610" spans="1:2">
      <c r="A610" s="2">
        <v>-0.0107914716327643</v>
      </c>
      <c r="B610" s="3">
        <v>0.0012496362393459</v>
      </c>
    </row>
    <row r="611" spans="1:2">
      <c r="A611" s="2">
        <v>-0.0109091991003536</v>
      </c>
      <c r="B611" s="3">
        <v>-0.0291347063638052</v>
      </c>
    </row>
    <row r="612" spans="1:2">
      <c r="A612" s="2">
        <v>-0.00182982667707612</v>
      </c>
      <c r="B612" s="3">
        <v>0</v>
      </c>
    </row>
    <row r="613" spans="1:2">
      <c r="A613" s="2">
        <v>0</v>
      </c>
      <c r="B613" s="3">
        <v>-0.00515362558767814</v>
      </c>
    </row>
    <row r="614" spans="1:2">
      <c r="A614" s="2">
        <v>0.00182982667707616</v>
      </c>
      <c r="B614" s="3">
        <v>0.00643857571977642</v>
      </c>
    </row>
    <row r="615" spans="1:2">
      <c r="A615" s="2">
        <v>-0.0110295235754997</v>
      </c>
      <c r="B615" s="3">
        <v>-0.0392726259343563</v>
      </c>
    </row>
    <row r="616" spans="1:2">
      <c r="A616" s="2">
        <v>0.0237454079008024</v>
      </c>
      <c r="B616" s="3">
        <v>-0.00267326772141509</v>
      </c>
    </row>
    <row r="617" spans="1:2">
      <c r="A617" s="2">
        <v>-0.0163788920840397</v>
      </c>
      <c r="B617" s="3">
        <v>-0.0161943370357127</v>
      </c>
    </row>
    <row r="618" spans="1:2">
      <c r="A618" s="2">
        <v>0.0181823190831903</v>
      </c>
      <c r="B618" s="3">
        <v>-0.0109447585595067</v>
      </c>
    </row>
    <row r="619" spans="1:2">
      <c r="A619" s="2">
        <v>0.00896866998276032</v>
      </c>
      <c r="B619" s="3">
        <v>0.00274817010462807</v>
      </c>
    </row>
    <row r="620" spans="1:2">
      <c r="A620" s="2">
        <v>0.0141846349919564</v>
      </c>
      <c r="B620" s="3">
        <v>0.00547088250624559</v>
      </c>
    </row>
    <row r="621" spans="1:2">
      <c r="A621" s="2">
        <v>0.0713375384462056</v>
      </c>
      <c r="B621" s="3">
        <v>0.00408433202113904</v>
      </c>
    </row>
    <row r="622" spans="1:2">
      <c r="A622" s="2">
        <v>0.0306722995330836</v>
      </c>
      <c r="B622" s="3">
        <v>-0.00681603195950293</v>
      </c>
    </row>
    <row r="623" spans="1:2">
      <c r="A623" s="2">
        <v>-0.0192622327950527</v>
      </c>
      <c r="B623" s="3">
        <v>-0.00411232356562735</v>
      </c>
    </row>
    <row r="624" spans="1:2">
      <c r="A624" s="2">
        <v>-0.00813674139306171</v>
      </c>
      <c r="B624" s="3">
        <v>0.00820780516213505</v>
      </c>
    </row>
    <row r="625" spans="1:2">
      <c r="A625" s="2">
        <v>-0.00491401480242904</v>
      </c>
      <c r="B625" s="3">
        <v>0.0013619242904891</v>
      </c>
    </row>
    <row r="626" spans="1:2">
      <c r="A626" s="2">
        <v>-0.00493828164058257</v>
      </c>
      <c r="B626" s="3">
        <v>-0.0054574058869968</v>
      </c>
    </row>
    <row r="627" spans="1:2">
      <c r="A627" s="2">
        <v>0</v>
      </c>
      <c r="B627" s="3">
        <v>0</v>
      </c>
    </row>
    <row r="628" spans="1:2">
      <c r="A628" s="2">
        <v>0.0356601803988843</v>
      </c>
      <c r="B628" s="3">
        <v>0.0189713096813518</v>
      </c>
    </row>
    <row r="629" spans="1:2">
      <c r="A629" s="2">
        <v>0.0015910902322419</v>
      </c>
      <c r="B629" s="3">
        <v>0.00535370096277263</v>
      </c>
    </row>
    <row r="630" spans="1:2">
      <c r="A630" s="2">
        <v>0.00158856268513774</v>
      </c>
      <c r="B630" s="3">
        <v>-0.0256943929317374</v>
      </c>
    </row>
    <row r="631" spans="1:2">
      <c r="A631" s="2">
        <v>-0.0471248848503707</v>
      </c>
      <c r="B631" s="3">
        <v>-0.00549342698154272</v>
      </c>
    </row>
    <row r="632" spans="1:2">
      <c r="A632" s="2">
        <v>0.0295103381493885</v>
      </c>
      <c r="B632" s="3">
        <v>0.0143581851531209</v>
      </c>
    </row>
    <row r="633" spans="1:2">
      <c r="A633" s="2">
        <v>0.0144348937836025</v>
      </c>
      <c r="B633" s="3">
        <v>-0.0013142971812721</v>
      </c>
    </row>
    <row r="634" spans="1:2">
      <c r="A634" s="2">
        <v>0.00317965291737981</v>
      </c>
      <c r="B634" s="3">
        <v>0.0259745218547587</v>
      </c>
    </row>
    <row r="635" spans="1:2">
      <c r="A635" s="2">
        <v>-0.0672936357339916</v>
      </c>
      <c r="B635" s="3">
        <v>-0.00772119370216311</v>
      </c>
    </row>
    <row r="636" spans="1:2">
      <c r="A636" s="2">
        <v>-0.0240561428542363</v>
      </c>
      <c r="B636" s="3">
        <v>-0.022209520962601</v>
      </c>
    </row>
    <row r="637" spans="1:2">
      <c r="A637" s="2">
        <v>0.0257524961024148</v>
      </c>
      <c r="B637" s="3">
        <v>-0.00928999848851727</v>
      </c>
    </row>
    <row r="638" spans="1:2">
      <c r="A638" s="2">
        <v>-0.00680274732275252</v>
      </c>
      <c r="B638" s="3">
        <v>-0.00668874215847279</v>
      </c>
    </row>
    <row r="639" spans="1:2">
      <c r="A639" s="2">
        <v>0.0084962278290856</v>
      </c>
      <c r="B639" s="3">
        <v>-0.012154246042847</v>
      </c>
    </row>
    <row r="640" spans="1:2">
      <c r="A640" s="2">
        <v>-0.00169348050633303</v>
      </c>
      <c r="B640" s="3">
        <v>-0.00135897109891312</v>
      </c>
    </row>
    <row r="641" spans="1:2">
      <c r="A641" s="2">
        <v>-0.0222802703916656</v>
      </c>
      <c r="B641" s="3">
        <v>-0.0123206265731016</v>
      </c>
    </row>
    <row r="642" spans="1:2">
      <c r="A642" s="2">
        <v>0.013769580723757</v>
      </c>
      <c r="B642" s="3">
        <v>0</v>
      </c>
    </row>
    <row r="643" spans="1:2">
      <c r="A643" s="2">
        <v>0.00511510066677041</v>
      </c>
      <c r="B643" s="3">
        <v>-0.00275882326740102</v>
      </c>
    </row>
    <row r="644" spans="1:2">
      <c r="A644" s="2">
        <v>0.00339558900113811</v>
      </c>
      <c r="B644" s="3">
        <v>-0.00138151062550844</v>
      </c>
    </row>
    <row r="645" spans="1:2">
      <c r="A645" s="2">
        <v>-0.0450682854017062</v>
      </c>
      <c r="B645" s="3">
        <v>0.0137359651653189</v>
      </c>
    </row>
    <row r="646" spans="1:2">
      <c r="A646" s="2">
        <v>-0.00177462335836849</v>
      </c>
      <c r="B646" s="3">
        <v>-0.00273244119472732</v>
      </c>
    </row>
    <row r="647" spans="1:2">
      <c r="A647" s="2">
        <v>-0.0215448189867759</v>
      </c>
      <c r="B647" s="3">
        <v>0.00545743649541957</v>
      </c>
    </row>
    <row r="648" spans="1:2">
      <c r="A648" s="2">
        <v>-0.0220192382439173</v>
      </c>
      <c r="B648" s="3">
        <v>-0.00956939347638244</v>
      </c>
    </row>
    <row r="649" spans="1:2">
      <c r="A649" s="2">
        <v>-0.00185701074721277</v>
      </c>
      <c r="B649" s="3">
        <v>-0.00966185225469528</v>
      </c>
    </row>
    <row r="650" spans="1:2">
      <c r="A650" s="2">
        <v>0.00371057939653555</v>
      </c>
      <c r="B650" s="3">
        <v>-0.0167832859467541</v>
      </c>
    </row>
    <row r="651" spans="1:2">
      <c r="A651" s="2">
        <v>0.00921665510492405</v>
      </c>
      <c r="B651" s="3">
        <v>-0.00565813289222569</v>
      </c>
    </row>
    <row r="652" spans="1:2">
      <c r="A652" s="2">
        <v>0.0289351108594522</v>
      </c>
      <c r="B652" s="3">
        <v>-0.00997863971785693</v>
      </c>
    </row>
    <row r="653" spans="1:2">
      <c r="A653" s="2">
        <v>0.00710482562374458</v>
      </c>
      <c r="B653" s="3">
        <v>0.0113953983834947</v>
      </c>
    </row>
    <row r="654" spans="1:2">
      <c r="A654" s="2">
        <v>-0.0106762579913418</v>
      </c>
      <c r="B654" s="3">
        <v>0.00141630958361528</v>
      </c>
    </row>
    <row r="655" spans="1:2">
      <c r="A655" s="2">
        <v>-0.0162311949285826</v>
      </c>
      <c r="B655" s="3">
        <v>0.0042338353633846</v>
      </c>
    </row>
    <row r="656" spans="1:2">
      <c r="A656" s="2">
        <v>0</v>
      </c>
      <c r="B656" s="3">
        <v>0.0125965341563154</v>
      </c>
    </row>
    <row r="657" spans="1:2">
      <c r="A657" s="2">
        <v>0.00724640852076725</v>
      </c>
      <c r="B657" s="3">
        <v>-0.0182466791033154</v>
      </c>
    </row>
    <row r="658" spans="1:2">
      <c r="A658" s="2">
        <v>0.00898478640781526</v>
      </c>
      <c r="B658" s="3">
        <v>-0.00141675866563763</v>
      </c>
    </row>
    <row r="659" spans="1:2">
      <c r="A659" s="2">
        <v>-0.0071813594086647</v>
      </c>
      <c r="B659" s="3">
        <v>0.00141675866563774</v>
      </c>
    </row>
    <row r="660" spans="1:2">
      <c r="A660" s="2">
        <v>0.00896866998276032</v>
      </c>
      <c r="B660" s="3">
        <v>-0.021474615823805</v>
      </c>
    </row>
    <row r="661" spans="1:2">
      <c r="A661" s="2">
        <v>-0.00537154380191088</v>
      </c>
      <c r="B661" s="3">
        <v>-0.0323565010110793</v>
      </c>
    </row>
    <row r="662" spans="1:2">
      <c r="A662" s="2">
        <v>-0.019946264182379</v>
      </c>
      <c r="B662" s="3">
        <v>-0.00900807335528996</v>
      </c>
    </row>
    <row r="663" spans="1:2">
      <c r="A663" s="2">
        <v>0.00911583340800941</v>
      </c>
      <c r="B663" s="3">
        <v>-0.0121406357074862</v>
      </c>
    </row>
    <row r="664" spans="1:2">
      <c r="A664" s="2">
        <v>-0.00181653092639789</v>
      </c>
      <c r="B664" s="3">
        <v>0.00456919308350611</v>
      </c>
    </row>
    <row r="665" spans="1:2">
      <c r="A665" s="2">
        <v>0.0180185055026782</v>
      </c>
      <c r="B665" s="3">
        <v>0.00455007400025698</v>
      </c>
    </row>
    <row r="666" spans="1:2">
      <c r="A666" s="2">
        <v>0.00888894741724599</v>
      </c>
      <c r="B666" s="3">
        <v>0.00302136862372325</v>
      </c>
    </row>
    <row r="667" spans="1:2">
      <c r="A667" s="2">
        <v>0.00881062968215491</v>
      </c>
      <c r="B667" s="3">
        <v>0.0119933682057147</v>
      </c>
    </row>
    <row r="668" spans="1:2">
      <c r="A668" s="2">
        <v>-0.00527705710084378</v>
      </c>
      <c r="B668" s="3">
        <v>0.0074236651421307</v>
      </c>
    </row>
    <row r="669" spans="1:2">
      <c r="A669" s="2">
        <v>-0.0231946169804683</v>
      </c>
      <c r="B669" s="3">
        <v>0.0044275652107063</v>
      </c>
    </row>
    <row r="670" spans="1:2">
      <c r="A670" s="2">
        <v>0.00180342699915073</v>
      </c>
      <c r="B670" s="3">
        <v>-0.0314160411825317</v>
      </c>
    </row>
    <row r="671" spans="1:2">
      <c r="A671" s="2">
        <v>-0.00180342699915068</v>
      </c>
      <c r="B671" s="3">
        <v>-0.00456919308350613</v>
      </c>
    </row>
    <row r="672" spans="1:2">
      <c r="A672" s="2">
        <v>-0.00180668522494904</v>
      </c>
      <c r="B672" s="3">
        <v>0.0106302619763774</v>
      </c>
    </row>
    <row r="673" spans="1:2">
      <c r="A673" s="2">
        <v>-0.00543972329581821</v>
      </c>
      <c r="B673" s="3">
        <v>0.00301681367264801</v>
      </c>
    </row>
    <row r="674" spans="1:2">
      <c r="A674" s="2">
        <v>-0.023920183717652</v>
      </c>
      <c r="B674" s="3">
        <v>0.00150417399332866</v>
      </c>
    </row>
    <row r="675" spans="1:2">
      <c r="A675" s="2">
        <v>-0.0056022555486699</v>
      </c>
      <c r="B675" s="3">
        <v>-0.00906250752233961</v>
      </c>
    </row>
    <row r="676" spans="1:2">
      <c r="A676" s="2">
        <v>-0.00751883241402734</v>
      </c>
      <c r="B676" s="3">
        <v>0.00303052496374879</v>
      </c>
    </row>
    <row r="677" spans="1:2">
      <c r="A677" s="2">
        <v>0.00938974034983914</v>
      </c>
      <c r="B677" s="3">
        <v>0</v>
      </c>
    </row>
    <row r="678" spans="1:2">
      <c r="A678" s="2">
        <v>0.0258316946135242</v>
      </c>
      <c r="B678" s="3">
        <v>0.00603198255859096</v>
      </c>
    </row>
    <row r="679" spans="1:2">
      <c r="A679" s="2">
        <v>0.0108696722369039</v>
      </c>
      <c r="B679" s="3">
        <v>0.00898275427084699</v>
      </c>
    </row>
    <row r="680" spans="1:2">
      <c r="A680" s="2">
        <v>-0.00904983551991793</v>
      </c>
      <c r="B680" s="3">
        <v>0</v>
      </c>
    </row>
    <row r="681" spans="1:2">
      <c r="A681" s="2">
        <v>0</v>
      </c>
      <c r="B681" s="3">
        <v>0</v>
      </c>
    </row>
    <row r="682" spans="1:2">
      <c r="A682" s="2">
        <v>-0.00913248356327247</v>
      </c>
      <c r="B682" s="3">
        <v>-0.0119933682057147</v>
      </c>
    </row>
    <row r="683" spans="1:2">
      <c r="A683" s="2">
        <v>-0.0147877001543794</v>
      </c>
      <c r="B683" s="3">
        <v>0.0105026553641304</v>
      </c>
    </row>
    <row r="684" spans="1:2">
      <c r="A684" s="2">
        <v>0.00742118433761683</v>
      </c>
      <c r="B684" s="3">
        <v>0.0177516037482857</v>
      </c>
    </row>
    <row r="685" spans="1:2">
      <c r="A685" s="2">
        <v>0</v>
      </c>
      <c r="B685" s="3">
        <v>0.00584839293342494</v>
      </c>
    </row>
    <row r="686" spans="1:2">
      <c r="A686" s="2">
        <v>0.0164989993800351</v>
      </c>
      <c r="B686" s="3">
        <v>0.00870736430252403</v>
      </c>
    </row>
    <row r="687" spans="1:2">
      <c r="A687" s="2">
        <v>-0.0295224392663217</v>
      </c>
      <c r="B687" s="3">
        <v>-0.00289456989258921</v>
      </c>
    </row>
    <row r="688" spans="1:2">
      <c r="A688" s="2">
        <v>-0.0227282510775562</v>
      </c>
      <c r="B688" s="3">
        <v>0.0100937605826167</v>
      </c>
    </row>
    <row r="689" spans="1:2">
      <c r="A689" s="2">
        <v>-0.00962471337420956</v>
      </c>
      <c r="B689" s="3">
        <v>-0.0100937605826166</v>
      </c>
    </row>
    <row r="690" spans="1:2">
      <c r="A690" s="2">
        <v>-0.00971824946892134</v>
      </c>
      <c r="B690" s="3">
        <v>0.00865869468878994</v>
      </c>
    </row>
    <row r="691" spans="1:2">
      <c r="A691" s="2">
        <v>-0.0408626854522865</v>
      </c>
      <c r="B691" s="3">
        <v>0.00573108998735444</v>
      </c>
    </row>
    <row r="692" spans="1:2">
      <c r="A692" s="2">
        <v>0.00406091928631501</v>
      </c>
      <c r="B692" s="3">
        <v>0.00711720039261638</v>
      </c>
    </row>
    <row r="693" spans="1:2">
      <c r="A693" s="2">
        <v>-0.00101368483084612</v>
      </c>
      <c r="B693" s="3">
        <v>0.00283306824925288</v>
      </c>
    </row>
    <row r="694" spans="1:2">
      <c r="A694" s="2">
        <v>0.00202634314523247</v>
      </c>
      <c r="B694" s="3">
        <v>-0.00425339887872708</v>
      </c>
    </row>
    <row r="695" spans="1:2">
      <c r="A695" s="2">
        <v>-0.00813012608325018</v>
      </c>
      <c r="B695" s="3">
        <v>-0.0229896271952984</v>
      </c>
    </row>
    <row r="696" spans="1:2">
      <c r="A696" s="2">
        <v>0.0101523714640179</v>
      </c>
      <c r="B696" s="3">
        <v>-0.00290982165392316</v>
      </c>
    </row>
    <row r="697" spans="1:2">
      <c r="A697" s="2">
        <v>0</v>
      </c>
      <c r="B697" s="3">
        <v>0.0202025790860791</v>
      </c>
    </row>
    <row r="698" spans="1:2">
      <c r="A698" s="2">
        <v>-0.0412429585340491</v>
      </c>
      <c r="B698" s="3">
        <v>-0.00716980039233773</v>
      </c>
    </row>
    <row r="699" spans="1:2">
      <c r="A699" s="2">
        <v>0.0104712998672954</v>
      </c>
      <c r="B699" s="3">
        <v>0.0213539043975917</v>
      </c>
    </row>
    <row r="700" spans="1:2">
      <c r="A700" s="2">
        <v>0.0448140157897926</v>
      </c>
      <c r="B700" s="3">
        <v>-0.0156145867304902</v>
      </c>
    </row>
    <row r="701" spans="1:2">
      <c r="A701" s="2">
        <v>0.00595830958363062</v>
      </c>
      <c r="B701" s="3">
        <v>0.00854768311785249</v>
      </c>
    </row>
    <row r="702" spans="1:2">
      <c r="A702" s="2">
        <v>-0.00396825917562062</v>
      </c>
      <c r="B702" s="3">
        <v>0.00565813289222576</v>
      </c>
    </row>
    <row r="703" spans="1:2">
      <c r="A703" s="2">
        <v>0.00792083349144406</v>
      </c>
      <c r="B703" s="3">
        <v>0.0140053048767275</v>
      </c>
    </row>
    <row r="704" spans="1:2">
      <c r="A704" s="2">
        <v>-0.00593473551981458</v>
      </c>
      <c r="B704" s="3">
        <v>0.00138919158108202</v>
      </c>
    </row>
    <row r="705" spans="1:2">
      <c r="A705" s="2">
        <v>0.00790517950711325</v>
      </c>
      <c r="B705" s="3">
        <v>0.0137943263197974</v>
      </c>
    </row>
    <row r="706" spans="1:2">
      <c r="A706" s="2">
        <v>-0.00989127747874267</v>
      </c>
      <c r="B706" s="3">
        <v>-0.0179692376526338</v>
      </c>
    </row>
    <row r="707" spans="1:2">
      <c r="A707" s="2">
        <v>-0.00598207167754743</v>
      </c>
      <c r="B707" s="3">
        <v>0.0152255530764763</v>
      </c>
    </row>
    <row r="708" spans="1:2">
      <c r="A708" s="2">
        <v>0.00995033085316809</v>
      </c>
      <c r="B708" s="3">
        <v>0.00956939347638251</v>
      </c>
    </row>
    <row r="709" spans="1:2">
      <c r="A709" s="2">
        <v>0.0215483362062029</v>
      </c>
      <c r="B709" s="3">
        <v>0.0108248468185374</v>
      </c>
    </row>
    <row r="710" spans="1:2">
      <c r="A710" s="2">
        <v>-0.00193986481782659</v>
      </c>
      <c r="B710" s="3">
        <v>0.0013458275467983</v>
      </c>
    </row>
    <row r="711" spans="1:2">
      <c r="A711" s="2">
        <v>-0.0335668236390833</v>
      </c>
      <c r="B711" s="3">
        <v>0</v>
      </c>
    </row>
    <row r="712" spans="1:2">
      <c r="A712" s="2">
        <v>0.0179109265665302</v>
      </c>
      <c r="B712" s="3">
        <v>0.00402370513799291</v>
      </c>
    </row>
    <row r="713" spans="1:2">
      <c r="A713" s="2">
        <v>0.00981362144832467</v>
      </c>
      <c r="B713" s="3">
        <v>-0.00536953268479111</v>
      </c>
    </row>
    <row r="714" spans="1:2">
      <c r="A714" s="2">
        <v>0.0193429628431309</v>
      </c>
      <c r="B714" s="3">
        <v>0.00268837032322276</v>
      </c>
    </row>
    <row r="715" spans="1:2">
      <c r="A715" s="2">
        <v>-0.0232568621642672</v>
      </c>
      <c r="B715" s="3">
        <v>-0.00403452964133156</v>
      </c>
    </row>
    <row r="716" spans="1:2">
      <c r="A716" s="2">
        <v>0.0308904870193385</v>
      </c>
      <c r="B716" s="3">
        <v>0.00269198686490701</v>
      </c>
    </row>
    <row r="717" spans="1:2">
      <c r="A717" s="2">
        <v>-0.0211343120739737</v>
      </c>
      <c r="B717" s="3">
        <v>0</v>
      </c>
    </row>
    <row r="718" spans="1:2">
      <c r="A718" s="2">
        <v>-0.0385995468936935</v>
      </c>
      <c r="B718" s="3">
        <v>0.00803128493489725</v>
      </c>
    </row>
    <row r="719" spans="1:2">
      <c r="A719" s="2">
        <v>-0.0317812498681061</v>
      </c>
      <c r="B719" s="3">
        <v>-0.0013335868488665</v>
      </c>
    </row>
    <row r="720" spans="1:2">
      <c r="A720" s="2">
        <v>0</v>
      </c>
      <c r="B720" s="3">
        <v>-0.00669769808603075</v>
      </c>
    </row>
    <row r="721" spans="1:2">
      <c r="A721" s="2">
        <v>0.00829880281469506</v>
      </c>
      <c r="B721" s="3">
        <v>0.00268475952318262</v>
      </c>
    </row>
    <row r="722" spans="1:2">
      <c r="A722" s="2">
        <v>0.0123204843880407</v>
      </c>
      <c r="B722" s="3">
        <v>0.00534652541171473</v>
      </c>
    </row>
    <row r="723" spans="1:2">
      <c r="A723" s="2">
        <v>-0.0206192872027357</v>
      </c>
      <c r="B723" s="3">
        <v>0.0039930434603508</v>
      </c>
    </row>
    <row r="724" spans="1:2">
      <c r="A724" s="2">
        <v>-0.00731838080767984</v>
      </c>
      <c r="B724" s="3">
        <v>-0.012024328395248</v>
      </c>
    </row>
    <row r="725" spans="1:2">
      <c r="A725" s="2">
        <v>-0.0483705250529088</v>
      </c>
      <c r="B725" s="3">
        <v>0</v>
      </c>
    </row>
    <row r="726" spans="1:2">
      <c r="A726" s="2">
        <v>-0.0648322500279191</v>
      </c>
      <c r="B726" s="3">
        <v>-0.00134582754679818</v>
      </c>
    </row>
    <row r="727" spans="1:2">
      <c r="A727" s="2">
        <v>0.0186268482071677</v>
      </c>
      <c r="B727" s="3">
        <v>0.00268837032322276</v>
      </c>
    </row>
    <row r="728" spans="1:2">
      <c r="A728" s="2">
        <v>0.0261824859456437</v>
      </c>
      <c r="B728" s="3">
        <v>0.0251832288447351</v>
      </c>
    </row>
    <row r="729" spans="1:2">
      <c r="A729" s="2">
        <v>0.0331522073169006</v>
      </c>
      <c r="B729" s="3">
        <v>0.00912053772856558</v>
      </c>
    </row>
    <row r="730" spans="1:2">
      <c r="A730" s="2">
        <v>-0.0275499517682306</v>
      </c>
      <c r="B730" s="3">
        <v>-0.006505965505222</v>
      </c>
    </row>
    <row r="731" spans="1:2">
      <c r="A731" s="2">
        <v>0</v>
      </c>
      <c r="B731" s="3">
        <v>0.00390980031449242</v>
      </c>
    </row>
    <row r="732" spans="1:2">
      <c r="A732" s="2">
        <v>-0.0433857996770755</v>
      </c>
      <c r="B732" s="3">
        <v>0</v>
      </c>
    </row>
    <row r="733" spans="1:2">
      <c r="A733" s="2">
        <v>-0.0105572828058767</v>
      </c>
      <c r="B733" s="3">
        <v>-0.00521551324463275</v>
      </c>
    </row>
    <row r="734" spans="1:2">
      <c r="A734" s="2">
        <v>-0.00117994113984864</v>
      </c>
      <c r="B734" s="3">
        <v>0</v>
      </c>
    </row>
    <row r="735" spans="1:2">
      <c r="A735" s="2">
        <v>-0.00118133504583109</v>
      </c>
      <c r="B735" s="3">
        <v>-0.00919239319258829</v>
      </c>
    </row>
    <row r="736" spans="1:2">
      <c r="A736" s="2">
        <v>-0.00473934536389656</v>
      </c>
      <c r="B736" s="3">
        <v>-0.0106109527868775</v>
      </c>
    </row>
    <row r="737" spans="1:2">
      <c r="A737" s="2">
        <v>-0.0276959303892573</v>
      </c>
      <c r="B737" s="3">
        <v>0.0132461912985228</v>
      </c>
    </row>
    <row r="738" spans="1:2">
      <c r="A738" s="2">
        <v>0.00365631120311048</v>
      </c>
      <c r="B738" s="3">
        <v>0.00655715468094284</v>
      </c>
    </row>
    <row r="739" spans="1:2">
      <c r="A739" s="2">
        <v>0.00243013485329189</v>
      </c>
      <c r="B739" s="3">
        <v>0.00521551324463279</v>
      </c>
    </row>
    <row r="740" spans="1:2">
      <c r="A740" s="2">
        <v>0.00725517088117202</v>
      </c>
      <c r="B740" s="3">
        <v>-0.0183745592396365</v>
      </c>
    </row>
    <row r="741" spans="1:2">
      <c r="A741" s="2">
        <v>-0.0145633641878966</v>
      </c>
      <c r="B741" s="3">
        <v>-0.00398098760297201</v>
      </c>
    </row>
    <row r="742" spans="1:2">
      <c r="A742" s="2">
        <v>0.00244200365555181</v>
      </c>
      <c r="B742" s="3">
        <v>-0.00667089217839432</v>
      </c>
    </row>
    <row r="743" spans="1:2">
      <c r="A743" s="2">
        <v>0.0240975515790605</v>
      </c>
      <c r="B743" s="3">
        <v>0.0132975782854217</v>
      </c>
    </row>
    <row r="744" spans="1:2">
      <c r="A744" s="2">
        <v>0.0141846349919564</v>
      </c>
      <c r="B744" s="3">
        <v>-0.00264569850405536</v>
      </c>
    </row>
    <row r="745" spans="1:2">
      <c r="A745" s="2">
        <v>0.0592428335628608</v>
      </c>
      <c r="B745" s="3">
        <v>0.0222677081989219</v>
      </c>
    </row>
    <row r="746" spans="1:2">
      <c r="A746" s="2">
        <v>0</v>
      </c>
      <c r="B746" s="3">
        <v>0.00387805110964846</v>
      </c>
    </row>
    <row r="747" spans="1:2">
      <c r="A747" s="2">
        <v>-0.0429444518297414</v>
      </c>
      <c r="B747" s="3">
        <v>-0.0195438679945096</v>
      </c>
    </row>
    <row r="748" spans="1:2">
      <c r="A748" s="2">
        <v>-0.018648559078073</v>
      </c>
      <c r="B748" s="3">
        <v>0.00655715468094284</v>
      </c>
    </row>
    <row r="749" spans="1:2">
      <c r="A749" s="2">
        <v>0</v>
      </c>
      <c r="B749" s="3">
        <v>-0.00655715468094295</v>
      </c>
    </row>
    <row r="750" spans="1:2">
      <c r="A750" s="2">
        <v>0.00586511945239806</v>
      </c>
      <c r="B750" s="3">
        <v>-0.0172537710954271</v>
      </c>
    </row>
    <row r="751" spans="1:2">
      <c r="A751" s="2">
        <v>0.0378702740554097</v>
      </c>
      <c r="B751" s="3">
        <v>0.00800062325725503</v>
      </c>
    </row>
    <row r="752" spans="1:2">
      <c r="A752" s="2">
        <v>0.0222726356091232</v>
      </c>
      <c r="B752" s="3">
        <v>0.00793567227787995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VNM</vt:lpstr>
      <vt:lpstr>VHM</vt:lpstr>
      <vt:lpstr>WEIGHT PORFOLIO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2026-03-14T08:18:00Z</dcterms:created>
  <dcterms:modified xsi:type="dcterms:W3CDTF">2026-03-17T16:07:01Z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F38AE9C0DCA940589D4517128A2DF4F0_11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